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-Defense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<sst xmlns="http://schemas.openxmlformats.org/spreadsheetml/2006/main" count="505" uniqueCount="234">
  <si>
    <t xml:space="preserve">Time (GMT)</t>
  </si>
  <si>
    <t xml:space="preserve">Surname</t>
  </si>
  <si>
    <t xml:space="preserve">Given Names</t>
  </si>
  <si>
    <t xml:space="preserve">Indices de similarité</t>
  </si>
  <si>
    <t xml:space="preserve">Research Project title</t>
  </si>
  <si>
    <t xml:space="preserve">Academic Supervisors</t>
  </si>
  <si>
    <t xml:space="preserve">Email of Supervisor </t>
  </si>
  <si>
    <t xml:space="preserve">Institution of Supervisors</t>
  </si>
  <si>
    <t xml:space="preserve">President Jury</t>
  </si>
  <si>
    <t xml:space="preserve">Email</t>
  </si>
  <si>
    <t xml:space="preserve">Affiliation </t>
  </si>
  <si>
    <t xml:space="preserve">Examiner 1</t>
  </si>
  <si>
    <t xml:space="preserve">Examiner 1 email</t>
  </si>
  <si>
    <t xml:space="preserve">Affiliation</t>
  </si>
  <si>
    <t xml:space="preserve">Examiner 2</t>
  </si>
  <si>
    <t xml:space="preserve">Examiner 2 email</t>
  </si>
  <si>
    <t xml:space="preserve">Room </t>
  </si>
  <si>
    <t xml:space="preserve">Date</t>
  </si>
  <si>
    <t xml:space="preserve">Academic Supervisors 2</t>
  </si>
  <si>
    <t xml:space="preserve">Email of Supervisor 2</t>
  </si>
  <si>
    <t xml:space="preserve">9h</t>
  </si>
  <si>
    <t xml:space="preserve">Farouk </t>
  </si>
  <si>
    <t xml:space="preserve">Zeinab</t>
  </si>
  <si>
    <t xml:space="preserve">Hybrid Kolmogorov–Arnold Graph Neural Networks and
Probabilistic Graphical Models for Retention Time
Prediction in Pharmaceutical LC–MS Workflows: https://drive.google.com/file/d/1hBhxqwL5rIEWvdI-BCHvGGCpM2y8r4_3/view?usp=drive_link</t>
  </si>
  <si>
    <t xml:space="preserve">Dr Prudence Djagba</t>
  </si>
  <si>
    <t xml:space="preserve">prudence@aims.ac.za</t>
  </si>
  <si>
    <t xml:space="preserve">Michigan State University, United States</t>
  </si>
  <si>
    <t xml:space="preserve">Dr Coura Balde</t>
  </si>
  <si>
    <t xml:space="preserve">coura.balde@aims-senegal.org</t>
  </si>
  <si>
    <t xml:space="preserve">AIMS Senegal</t>
  </si>
  <si>
    <t xml:space="preserve">Prof Mamadou bousso</t>
  </si>
  <si>
    <t xml:space="preserve">mbousso@univ-thies.sn</t>
  </si>
  <si>
    <t xml:space="preserve">University Iba Der Thiam, Thies</t>
  </si>
  <si>
    <t xml:space="preserve">Prof Abdou ka Diongue</t>
  </si>
  <si>
    <t xml:space="preserve">abdou.diongue@ugb.edu.sn</t>
  </si>
  <si>
    <t xml:space="preserve">UGB</t>
  </si>
  <si>
    <t xml:space="preserve">10h</t>
  </si>
  <si>
    <t xml:space="preserve">Ndiaye</t>
  </si>
  <si>
    <t xml:space="preserve">Abass </t>
  </si>
  <si>
    <t xml:space="preserve">Hybrid Machine Learning and Geostatistical Modelling for
Prevalence Disease Mapping: https://drive.google.com/file/d/1qL7KQtlxpVU6fmFH7-BwXGQsGwVRrF0z/view?usp=drive_link</t>
  </si>
  <si>
    <t xml:space="preserve">Dr Olatunji Johnson</t>
  </si>
  <si>
    <t xml:space="preserve">olatunji.johnson@manchester.ac.uk</t>
  </si>
  <si>
    <t xml:space="preserve"> University of Manchester</t>
  </si>
  <si>
    <t xml:space="preserve">Dr AGONKOUI Christelle</t>
  </si>
  <si>
    <t xml:space="preserve">christelleagonkoui@gmail.com</t>
  </si>
  <si>
    <t xml:space="preserve">University of Lille</t>
  </si>
  <si>
    <t xml:space="preserve">Prof Sophie Dabo Niang</t>
  </si>
  <si>
    <t xml:space="preserve">sophie.dabo@univ-lille.fr </t>
  </si>
  <si>
    <t xml:space="preserve">11h</t>
  </si>
  <si>
    <t xml:space="preserve">Baro</t>
  </si>
  <si>
    <t xml:space="preserve">Abou Birane</t>
  </si>
  <si>
    <t xml:space="preserve">Assessing Spatio-Temporal Trends in Rabies Mortality in
Tanzania: https://drive.google.com/file/d/1YbNtX1a4tafc6cmAHkSRaVEY43AVGHbC/view?usp=drive_link</t>
  </si>
  <si>
    <t xml:space="preserve">12h</t>
  </si>
  <si>
    <t xml:space="preserve">Diop</t>
  </si>
  <si>
    <t xml:space="preserve">Rockhaya </t>
  </si>
  <si>
    <t xml:space="preserve">Spatio-temporal analysis of dog bites and dog rabies
vaccination in Tanzania: https://drive.google.com/file/d/1a6WD5_HjAm-pXqodukQKcj4VQyeJmr09/view?usp=drive_link</t>
  </si>
  <si>
    <t xml:space="preserve">Prof Abdou Ka Diongue</t>
  </si>
  <si>
    <t xml:space="preserve">Dr Paul Aime Latsouck Faye</t>
  </si>
  <si>
    <t xml:space="preserve">paul-aime-latsouck.faye@umontpellier.fr</t>
  </si>
  <si>
    <t xml:space="preserve">13h</t>
  </si>
  <si>
    <t xml:space="preserve">Banda </t>
  </si>
  <si>
    <t xml:space="preserve">Khondwani</t>
  </si>
  <si>
    <t xml:space="preserve">Analysis of Hydrological Variability and Climate
Fluctuations in the Senegal River Basin using Spectral
Methods: https://drive.google.com/file/d/1_3OliEYjjNtMi1BV2Rqd6K6CbkaYvLh5/view?usp=drive_link</t>
  </si>
  <si>
    <t xml:space="preserve">Prof Babacar Mbaye Ndiaye</t>
  </si>
  <si>
    <t xml:space="preserve">babacarm.ndiaye@ucad.edu.sn</t>
  </si>
  <si>
    <t xml:space="preserve">Cheikh Anta Diop University</t>
  </si>
  <si>
    <t xml:space="preserve">Dr Komlan Midodzi NOUKPOAPE</t>
  </si>
  <si>
    <t xml:space="preserve">komlan-midodzi.noukpoape@inria.fr</t>
  </si>
  <si>
    <t xml:space="preserve">14h</t>
  </si>
  <si>
    <t xml:space="preserve">Mutua</t>
  </si>
  <si>
    <t xml:space="preserve">Alex Vundi</t>
  </si>
  <si>
    <t xml:space="preserve">Support Vector Machines for Financial Time Series Forecasting: Models, Techniques, and Performance: https://drive.google.com/file/d/1EXlwrMxvl4h_v5AGlK36w4hHchrI4JFO/view?usp=drive_link</t>
  </si>
  <si>
    <t xml:space="preserve">Dr Yae Gaba</t>
  </si>
  <si>
    <t xml:space="preserve">yae@aims.ac.za</t>
  </si>
  <si>
    <t xml:space="preserve">AIMS RIC, Kigali</t>
  </si>
  <si>
    <t xml:space="preserve">Prof Celestin Wafo Soh</t>
  </si>
  <si>
    <t xml:space="preserve">celestin.wafo_soh@jsums.edu</t>
  </si>
  <si>
    <t xml:space="preserve">Jackson State University</t>
  </si>
  <si>
    <t xml:space="preserve">Dr Djiby Fall</t>
  </si>
  <si>
    <t xml:space="preserve">falldjiby@gmail.com</t>
  </si>
  <si>
    <t xml:space="preserve">staticmatic Lab</t>
  </si>
  <si>
    <t xml:space="preserve">15h</t>
  </si>
  <si>
    <t xml:space="preserve"> Fall</t>
  </si>
  <si>
    <t xml:space="preserve">  Thiemokho </t>
  </si>
  <si>
    <t xml:space="preserve">Towards Interpretable Machine Learning: Symbolic
Regression in the age of AI: https://drive.google.com/file/d/1cH30tGFvp6xvzlccH8bsbP1yX7KVUI0j/view?usp=drive_link</t>
  </si>
  <si>
    <t xml:space="preserve">University Cheikh Anta Diop, Dakar</t>
  </si>
  <si>
    <t xml:space="preserve">17h</t>
  </si>
  <si>
    <t xml:space="preserve">Ondo Minko</t>
  </si>
  <si>
    <t xml:space="preserve">Anna Roxanne </t>
  </si>
  <si>
    <t xml:space="preserve">A Transformer-Based Graph Neural Network for Brain Tumor Segmentation: Explainability of the Model: https://drive.google.com/file/d/13L5cYLG34ztLgMVC8hnqixD_cAhy9gub/view?usp=drive_link</t>
  </si>
  <si>
    <t xml:space="preserve">Dr Aurelle TCHAGNA KOUANOU</t>
  </si>
  <si>
    <t xml:space="preserve">tchagna.aurelle@ubuea.cm</t>
  </si>
  <si>
    <t xml:space="preserve"> McMaster University, Canada/ University of Buea, Cameroon</t>
  </si>
  <si>
    <t xml:space="preserve">Pr Abdou Ka Diongue</t>
  </si>
  <si>
    <t xml:space="preserve">Dr Issa Mbenard Dabo</t>
  </si>
  <si>
    <t xml:space="preserve">i4444@hotmail.fr</t>
  </si>
  <si>
    <t xml:space="preserve">New York University Abu Dhabi</t>
  </si>
  <si>
    <t xml:space="preserve">Diallo</t>
  </si>
  <si>
    <t xml:space="preserve">Souleymane Thierno</t>
  </si>
  <si>
    <t xml:space="preserve">Causal AI and Machine Learning for Microsoft Financial
Decisions: https://drive.google.com/file/d/1xi2dZnpdI-Hlip_luGiW7e-vA8xOO-AT/view?usp=drive_link</t>
  </si>
  <si>
    <t xml:space="preserve">Dr Rock Stephane Koffi</t>
  </si>
  <si>
    <t xml:space="preserve">rock@aims.ac.za</t>
  </si>
  <si>
    <t xml:space="preserve">AIMS South Africa</t>
  </si>
  <si>
    <t xml:space="preserve">Prof Bakary Manga</t>
  </si>
  <si>
    <t xml:space="preserve">bakary.manga@ucad.edu.sn </t>
  </si>
  <si>
    <t xml:space="preserve">UCAD</t>
  </si>
  <si>
    <t xml:space="preserve">Prof El hadj Deme</t>
  </si>
  <si>
    <t xml:space="preserve">elhadjidemeufrsat@gmail.com</t>
  </si>
  <si>
    <t xml:space="preserve">Prof Aliou diop</t>
  </si>
  <si>
    <t xml:space="preserve">aliou.diop@ugb.edu.sn</t>
  </si>
  <si>
    <t xml:space="preserve"> Toure</t>
  </si>
  <si>
    <t xml:space="preserve">Fatou kine</t>
  </si>
  <si>
    <t xml:space="preserve">Classification Hiérarchique de Textes utilisant des
Méthodes à Noyau pour le Traitement Automatique du
Langage Naturel: https://drive.google.com/file/d/1m7sxkn92mGCvsy316qxEUWF9_1aCTFN3/view?usp=drive_link</t>
  </si>
  <si>
    <t xml:space="preserve">Dr Seydou Nourou Sylla</t>
  </si>
  <si>
    <t xml:space="preserve"> seydounourou.sylla@uadb.edu.sn</t>
  </si>
  <si>
    <t xml:space="preserve"> Université Alioune DIOP, Bambey</t>
  </si>
  <si>
    <t xml:space="preserve">elhadjidemeufrsat@gmail.com </t>
  </si>
  <si>
    <t xml:space="preserve">Prof Mamadou Bousso</t>
  </si>
  <si>
    <t xml:space="preserve">Dr Yae U Gaba</t>
  </si>
  <si>
    <t xml:space="preserve">AIMS RIC</t>
  </si>
  <si>
    <t xml:space="preserve">Hounye </t>
  </si>
  <si>
    <t xml:space="preserve"> Damien Zinsou</t>
  </si>
  <si>
    <t xml:space="preserve">Optimizing Customer Insights Extraction Using Advanced
ML and NLP Models: The Role of Preprocessing and
Tokenization: https://drive.google.com/file/d/1Q5nMIuwsmdMcA4qv9GgABtEcVQHWjHii/view?usp=drive_link</t>
  </si>
  <si>
    <t xml:space="preserve">Dr Cheikh Mouhamadou Bamba Dione</t>
  </si>
  <si>
    <t xml:space="preserve">cmbdione@googlemail.com</t>
  </si>
  <si>
    <t xml:space="preserve">Teyi</t>
  </si>
  <si>
    <t xml:space="preserve"> Kodjo Jérôme</t>
  </si>
  <si>
    <t xml:space="preserve">Automated Early Detection of Rheumatoid Arthritis in
Radiographs Using Neural Networks: https://drive.google.com/file/d/1tsbrTMJaKaT8FRyPDwSp2fRysfBPG_Rc/view?usp=drive_link</t>
  </si>
  <si>
    <t xml:space="preserve">sophie.dabo@univ-lille.fr</t>
  </si>
  <si>
    <t xml:space="preserve">Unversité de Lille</t>
  </si>
  <si>
    <t xml:space="preserve">Bayiha</t>
  </si>
  <si>
    <t xml:space="preserve">Jean </t>
  </si>
  <si>
    <t xml:space="preserve">Detection of the deflection angle of skyscrapers in a city
subject to high wind loads using Machine Learning methods: https://drive.google.com/file/d/1EnYH6G-sHe0GUjMRvp7_HfKdHuDmpD0l/view?usp=drive_link</t>
  </si>
  <si>
    <t xml:space="preserve">Dr Eliane Raissa Fankem </t>
  </si>
  <si>
    <t xml:space="preserve">elian.r.fankem@aims-senegal.org   </t>
  </si>
  <si>
    <t xml:space="preserve">AIMS Senegal   Université Alioune DIOP, Bambey</t>
  </si>
  <si>
    <t xml:space="preserve">Dr Aubrun Jovet EDO</t>
  </si>
  <si>
    <t xml:space="preserve">edoaubrunjovet@gmail.com</t>
  </si>
  <si>
    <t xml:space="preserve">IMSP</t>
  </si>
  <si>
    <t xml:space="preserve"> Dr Seydou Nourou Sylla</t>
  </si>
  <si>
    <t xml:space="preserve">Bankole</t>
  </si>
  <si>
    <t xml:space="preserve">Adedogni Arike Rihanatou </t>
  </si>
  <si>
    <t xml:space="preserve">Integrating Deep Learning with Stochastic Mortality
Models for Enhanced Mortality Forecasting: https://drive.google.com/file/d/1XbKpfQGqV9yhgPcvnjQaTIz-9MGS18gm/view?usp=drive_link</t>
  </si>
  <si>
    <t xml:space="preserve">Dr Samuel Gyamerah</t>
  </si>
  <si>
    <t xml:space="preserve">asante.gyamerah@torontomu.ca</t>
  </si>
  <si>
    <t xml:space="preserve"> Toronto Metropolitan University</t>
  </si>
  <si>
    <t xml:space="preserve">
Tidiga </t>
  </si>
  <si>
    <t xml:space="preserve"> Aly</t>
  </si>
  <si>
    <t xml:space="preserve">Investigating white-box adversarial attacks in pneumonia
detection in Chest X-Rays: https://drive.google.com/file/d/13IqyBF8gRCaXM9eCoGgMYNCdGgNoKWRU/view?usp=drive_link</t>
  </si>
  <si>
    <t xml:space="preserve">Dr Jordan Felicien Masakuna</t>
  </si>
  <si>
    <t xml:space="preserve">jordan@aims.ac.za</t>
  </si>
  <si>
    <t xml:space="preserve">University of Kinshassa, DRC</t>
  </si>
  <si>
    <t xml:space="preserve">16h</t>
  </si>
  <si>
    <t xml:space="preserve">Tidiani Dia</t>
  </si>
  <si>
    <t xml:space="preserve">Mariem </t>
  </si>
  <si>
    <t xml:space="preserve">Automated Stroke Detection and Subtype Classification
from Brain CT Using Deep Learning in Resource-Limited
Settings: https://drive.google.com/file/d/1D69phCk-qXUKjK5pGlY0BWsAWaoAxFct/view?usp=drive_link</t>
  </si>
  <si>
    <t xml:space="preserve">Amy Collé</t>
  </si>
  <si>
    <t xml:space="preserve">Designing an SQL-Based Data Pipeline for Exploratory
Data Analysis: https://drive.google.com/file/d/1qBx4QQiXqtWWZc0XrIrlmR9yBELvJwwK/view?usp=drive_link</t>
  </si>
  <si>
    <t xml:space="preserve">Dr Leila Zahhafi</t>
  </si>
  <si>
    <t xml:space="preserve">lzahhafi@aimsric.org</t>
  </si>
  <si>
    <t xml:space="preserve">Prof Mountaga Lam</t>
  </si>
  <si>
    <t xml:space="preserve">mountaga.lam@gmail.com</t>
  </si>
  <si>
    <t xml:space="preserve">Prof Arouna Ndam Njoya</t>
  </si>
  <si>
    <t xml:space="preserve">ndanjoa@gmail.com</t>
  </si>
  <si>
    <t xml:space="preserve">University Institute of Technology, University
of Ngaoundéré</t>
  </si>
  <si>
    <t xml:space="preserve">Niane</t>
  </si>
  <si>
    <t xml:space="preserve">Anna </t>
  </si>
  <si>
    <t xml:space="preserve">Performance Optimization of Graph-Theoretic Models for
the Prediction of Molecular Measurements: https://drive.google.com/file/d/1h5aUdsElWpFBVFxh6_19Y7hh2maZauiu/view?usp=drive_link</t>
  </si>
  <si>
    <t xml:space="preserve">Prof Solym Manou Abi</t>
  </si>
  <si>
    <t xml:space="preserve">solym.manou.abi@univ-poitiers.fr </t>
  </si>
  <si>
    <t xml:space="preserve">University of Poitier</t>
  </si>
  <si>
    <t xml:space="preserve">nourou03@gmail.com</t>
  </si>
  <si>
    <t xml:space="preserve">Aliou Diop University, Bambey</t>
  </si>
  <si>
    <t xml:space="preserve">Nahimana</t>
  </si>
  <si>
    <t xml:space="preserve">Emmanuel</t>
  </si>
  <si>
    <t xml:space="preserve">Detecting Money Laundering Risks in Financial
Transactions in Rwanda: A Machine Learning Approach
with a Case Study on Mobile Money: https://drive.google.com/file/d/1g3-_gcYlHRWlFrDPQxYywAUkmL7YN2ln/view?usp=drive_link</t>
  </si>
  <si>
    <t xml:space="preserve">Dr Yae Olatoundji Gaba</t>
  </si>
  <si>
    <t xml:space="preserve">Kouecking </t>
  </si>
  <si>
    <t xml:space="preserve">Pontiane Blondele</t>
  </si>
  <si>
    <t xml:space="preserve">From classical PDEs to PINNs: enhancing the
Black-Scholes Model with deep learning constraints: https://drive.google.com/file/d/1EfhqiYqpmK7V7_5_PoqaWpkbKx5njQnz/view?usp=drive_link</t>
  </si>
  <si>
    <t xml:space="preserve">Tawe</t>
  </si>
  <si>
    <t xml:space="preserve">Liwa Augustine</t>
  </si>
  <si>
    <t xml:space="preserve">Predictive Modeling of Agricultural Input Loan Default
(”Impaye”) for Smallholder Farmers in Benin: https://drive.google.com/file/d/1k5T2oV5S6f59iSpialOhr58jGth6lZFp/view?usp=drive_link</t>
  </si>
  <si>
    <t xml:space="preserve">Prof.Dr.-ing. Jean Louis FENDJI
</t>
  </si>
  <si>
    <t xml:space="preserve">lfendji@gmail.com, jl.fendji@egcim-univ-ndere.com</t>
  </si>
  <si>
    <t xml:space="preserve">UIT Ngaoundéré, Cameroon</t>
  </si>
  <si>
    <t xml:space="preserve">Prof Ado Adamou ABBA ARI</t>
  </si>
  <si>
    <t xml:space="preserve">adoadamou.abbaari@gmail.com</t>
  </si>
  <si>
    <t xml:space="preserve">University of Garoua</t>
  </si>
  <si>
    <t xml:space="preserve">cheikh</t>
  </si>
  <si>
    <t xml:space="preserve">elian.r.fankem@aims-senegal.org  </t>
  </si>
  <si>
    <t xml:space="preserve">Kabura</t>
  </si>
  <si>
    <t xml:space="preserve">Fabrice</t>
  </si>
  <si>
    <t xml:space="preserve">An Attention-Enhanced CNN–RBF Framework
for Network Intrusion Detection in Imbalanced
Traffic: FABRICE KABURA.pdf</t>
  </si>
  <si>
    <t xml:space="preserve">Dr NSABIMANA Thierry</t>
  </si>
  <si>
    <t xml:space="preserve">thierry.nsabimana@ub.edu.bi, thierry.nsabimana@aims-cameroon.org</t>
  </si>
  <si>
    <t xml:space="preserve">Institute of Applied Statistics, University of Burundi</t>
  </si>
  <si>
    <t xml:space="preserve">Mbuyi </t>
  </si>
  <si>
    <t xml:space="preserve">Bidiku Chance Victor</t>
  </si>
  <si>
    <t xml:space="preserve">Explainability of Deep Learning for Denoising Magnetic Resonance Imaging (MRI): https://drive.google.com/file/d/19liJGCszMpRYnT6o5v5GB0HRVARH67ru/view?usp=drive_link</t>
  </si>
  <si>
    <t xml:space="preserve"> 
McMaster University, Canada/ University of Buea, Cameroon</t>
  </si>
  <si>
    <t xml:space="preserve">Bore</t>
  </si>
  <si>
    <t xml:space="preserve">Souleymane</t>
  </si>
  <si>
    <t xml:space="preserve">Architecture hybride Autoencodeur-RNN pour
une prédiction prcise du trafic réseau 4G/5G:
Une étude de cas avec des données de
télécommunications en Afrique: https://drive.google.com/file/d/1roRSVSyfxTwKx6kjiHPPJiNQWai65_ia/view?usp=drive_link</t>
  </si>
  <si>
    <t xml:space="preserve">McMaster University, Canada/ University of Buea, Cameroon</t>
  </si>
  <si>
    <t xml:space="preserve">Prof Hassane Bouzahir</t>
  </si>
  <si>
    <t xml:space="preserve">hbouzahir@yahoo.fr </t>
  </si>
  <si>
    <t xml:space="preserve">Ibn Zohr University</t>
  </si>
  <si>
    <t xml:space="preserve">Kedjeri</t>
  </si>
  <si>
    <t xml:space="preserve">Abdou Latifou</t>
  </si>
  <si>
    <t xml:space="preserve">Predicting Prices of the US and G7 Stock Indices in
Uncertain Times: Evidence from the Application of a
Hybrid Neural Network: https://drive.google.com/file/d/1lFU2EqXEqMVLefWaQKzipQhaApadcNt6/view?usp=drive_link</t>
  </si>
  <si>
    <t xml:space="preserve">Pr Hassane Bouzahir</t>
  </si>
  <si>
    <t xml:space="preserve">hbouzahir@yahoo.fr</t>
  </si>
  <si>
    <t xml:space="preserve">Ibn Zohr university, Morocco</t>
  </si>
  <si>
    <t xml:space="preserve">Ndour</t>
  </si>
  <si>
    <t xml:space="preserve">Djibril</t>
  </si>
  <si>
    <t xml:space="preserve">Regime-Adaptive Neural Network Model for Weather Derivative Pricing Using Satellite-Derived Climate Indices: https://drive.google.com/file/d/10u5WyFcj3XLuzvGYruM3LVM84lQwNqz5/view?usp=drive_link</t>
  </si>
  <si>
    <t xml:space="preserve">Dr Alima Dajuma</t>
  </si>
  <si>
    <t xml:space="preserve">alima.dajuma@upgc.edu.ci</t>
  </si>
  <si>
    <t xml:space="preserve">University Peleforo Gon Coulibaly (UPGC) Korhogo/Côte d'Ivoire</t>
  </si>
  <si>
    <t xml:space="preserve">Fatou </t>
  </si>
  <si>
    <t xml:space="preserve">Modèle de Régression Logistique de Prédiction d’un
Cancer: https://drive.google.com/file/d/1oZlc4FaWkXsOO5rkT1fm-veStPkgnKYa/view?usp=drive_link</t>
  </si>
  <si>
    <t xml:space="preserve">Dr Mor Absa Loum</t>
  </si>
  <si>
    <t xml:space="preserve">morabsa.loum5@gmail.com </t>
  </si>
  <si>
    <t xml:space="preserve">Tienta</t>
  </si>
  <si>
    <t xml:space="preserve">Ousmane </t>
  </si>
  <si>
    <t xml:space="preserve">Imputation Multiple pour la Gestion des Donnees
Manquantes en Soft Subspace Clustering: https://drive.google.com/file/d/12mJuLnDYgZyp8IdeeMXIfx18sp7GJVH-/view?usp=drive_link</t>
  </si>
  <si>
    <t xml:space="preserve">Prof Ndeye Niang Keita</t>
  </si>
  <si>
    <t xml:space="preserve">ndeye.niangkeita@lecnam.net
, ndeye.niang_keita@cnam.fr</t>
  </si>
  <si>
    <t xml:space="preserve">CNAM</t>
  </si>
  <si>
    <t xml:space="preserve">Dieng</t>
  </si>
  <si>
    <t xml:space="preserve">Bineta Ndeye</t>
  </si>
  <si>
    <t xml:space="preserve">Study of irregularity and permutation invariance in real
3D data using PointNet++: https://drive.google.com/file/d/1L-qxSjuDvmDOXKpi5ZshTiYZdRfBZ7uO/view?usp=drive_link</t>
  </si>
  <si>
    <t xml:space="preserve">Dr Jordan Félicien Masakuna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</si>
</sst>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dd/mm/yy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13"/>
      <color theme="1"/>
      <name val="Times New Roman"/>
      <family val="0"/>
      <charset val="1"/>
    </font>
    <font>
      <sz val="14"/>
      <color theme="1"/>
      <name val="Times New Roman"/>
      <family val="0"/>
      <charset val="1"/>
    </font>
    <font>
      <sz val="12"/>
      <color rgb="FF222222"/>
      <name val="Times New Roman"/>
      <family val="0"/>
      <charset val="1"/>
    </font>
    <font>
      <u val="single"/>
      <sz val="12"/>
      <color rgb="FF222222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D0D0D"/>
      <name val="Times New Roman"/>
      <family val="0"/>
      <charset val="1"/>
    </font>
    <font>
      <u val="single"/>
      <sz val="12"/>
      <color rgb="FF0D0D0D"/>
      <name val="Times New Roman"/>
      <family val="0"/>
      <charset val="1"/>
    </font>
    <font>
      <sz val="13"/>
      <color rgb="FF000000"/>
      <name val="Times New Roman"/>
      <family val="0"/>
      <charset val="1"/>
    </font>
    <font>
      <u val="single"/>
      <sz val="12"/>
      <color rgb="FF0000FF"/>
      <name val="Times New Roman"/>
      <family val="0"/>
      <charset val="1"/>
    </font>
    <font>
      <sz val="11"/>
      <color rgb="FF222222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  <font>
      <sz val="13"/>
      <color rgb="FF1F1F1F"/>
      <name val="Times New Roman"/>
      <family val="0"/>
      <charset val="1"/>
    </font>
    <font>
      <sz val="14"/>
      <color rgb="FF000000"/>
      <name val="Times New Roman"/>
      <family val="0"/>
      <charset val="1"/>
    </font>
    <font>
      <u val="single"/>
      <sz val="12"/>
      <color rgb="FF000000"/>
      <name val="Times New Roman"/>
      <family val="0"/>
      <charset val="1"/>
    </font>
    <font>
      <sz val="11"/>
      <color rgb="FF000000"/>
      <name val="Arial"/>
      <family val="0"/>
      <charset val="1"/>
    </font>
    <font>
      <sz val="14"/>
      <color theme="1"/>
      <name val="Arial"/>
      <family val="0"/>
      <charset val="1"/>
    </font>
    <font>
      <sz val="14"/>
      <color rgb="FF1F1F1F"/>
      <name val="Times New Roman"/>
      <family val="0"/>
      <charset val="1"/>
    </font>
    <font>
      <sz val="12"/>
      <color rgb="FF1F1F1F"/>
      <name val="Times New Roman"/>
      <family val="0"/>
      <charset val="1"/>
    </font>
    <font>
      <u val="single"/>
      <sz val="12"/>
      <color rgb="FF1F1F1F"/>
      <name val="Times New Roman"/>
      <family val="0"/>
      <charset val="1"/>
    </font>
    <font>
      <u val="single"/>
      <sz val="13"/>
      <color rgb="FF0000FF"/>
      <name val="Times New Roman"/>
      <family val="0"/>
      <charset val="1"/>
    </font>
    <font>
      <u val="single"/>
      <sz val="12"/>
      <color theme="1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9CB9C"/>
      </patternFill>
    </fill>
    <fill>
      <patternFill patternType="solid">
        <fgColor rgb="FFFFFFFF"/>
        <bgColor rgb="FFEFEFEF"/>
      </patternFill>
    </fill>
    <fill>
      <patternFill patternType="solid">
        <fgColor rgb="FFE06666"/>
        <bgColor rgb="FFFF6600"/>
      </patternFill>
    </fill>
    <fill>
      <patternFill patternType="solid">
        <fgColor rgb="FFEA9999"/>
        <bgColor rgb="FFCC99FF"/>
      </patternFill>
    </fill>
    <fill>
      <patternFill patternType="solid">
        <fgColor rgb="FFEFEFEF"/>
        <bgColor rgb="FFFCE5CD"/>
      </patternFill>
    </fill>
    <fill>
      <patternFill patternType="solid">
        <fgColor rgb="FFFCE5CD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F9CB9C"/>
        <bgColor rgb="FFF4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9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7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0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5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7" fillId="7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7" fillId="7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9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" fillId="9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A9999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E06666"/>
      <rgbColor rgb="FF0066CC"/>
      <rgbColor rgb="FFF4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1F1F1F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22:K23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hBhxqwL5rIEWvdI-BCHvGGCpM2y8r4_3/view?usp=drive_link" TargetMode="External"/><Relationship Id="rId2" Type="http://schemas.openxmlformats.org/officeDocument/2006/relationships/hyperlink" Target="https://drive.google.com/file/d/1qL7KQtlxpVU6fmFH7-BwXGQsGwVRrF0z/view?usp=drive_link" TargetMode="External"/><Relationship Id="rId3" Type="http://schemas.openxmlformats.org/officeDocument/2006/relationships/hyperlink" Target="https://drive.google.com/file/d/1YbNtX1a4tafc6cmAHkSRaVEY43AVGHbC/view?usp=drive_link" TargetMode="External"/><Relationship Id="rId4" Type="http://schemas.openxmlformats.org/officeDocument/2006/relationships/hyperlink" Target="https://drive.google.com/file/d/1a6WD5_HjAm-pXqodukQKcj4VQyeJmr09/view?usp=drive_link" TargetMode="External"/><Relationship Id="rId5" Type="http://schemas.openxmlformats.org/officeDocument/2006/relationships/hyperlink" Target="https://drive.google.com/file/d/1_3OliEYjjNtMi1BV2Rqd6K6CbkaYvLh5/view?usp=drive_link" TargetMode="External"/><Relationship Id="rId6" Type="http://schemas.openxmlformats.org/officeDocument/2006/relationships/hyperlink" Target="https://drive.google.com/file/d/1EXlwrMxvl4h_v5AGlK36w4hHchrI4JFO/view?usp=drive_link" TargetMode="External"/><Relationship Id="rId7" Type="http://schemas.openxmlformats.org/officeDocument/2006/relationships/hyperlink" Target="https://drive.google.com/file/d/1cH30tGFvp6xvzlccH8bsbP1yX7KVUI0j/view?usp=drive_link" TargetMode="External"/><Relationship Id="rId8" Type="http://schemas.openxmlformats.org/officeDocument/2006/relationships/hyperlink" Target="https://drive.google.com/file/d/13L5cYLG34ztLgMVC8hnqixD_cAhy9gub/view?usp=drive_link" TargetMode="External"/><Relationship Id="rId9" Type="http://schemas.openxmlformats.org/officeDocument/2006/relationships/hyperlink" Target="https://drive.google.com/file/d/1xi2dZnpdI-Hlip_luGiW7e-vA8xOO-AT/view?usp=drive_link" TargetMode="External"/><Relationship Id="rId10" Type="http://schemas.openxmlformats.org/officeDocument/2006/relationships/hyperlink" Target="https://drive.google.com/file/d/1m7sxkn92mGCvsy316qxEUWF9_1aCTFN3/view?usp=drive_link" TargetMode="External"/><Relationship Id="rId11" Type="http://schemas.openxmlformats.org/officeDocument/2006/relationships/hyperlink" Target="https://drive.google.com/file/d/1Q5nMIuwsmdMcA4qv9GgABtEcVQHWjHii/view?usp=drive_link" TargetMode="External"/><Relationship Id="rId12" Type="http://schemas.openxmlformats.org/officeDocument/2006/relationships/hyperlink" Target="https://drive.google.com/file/d/1tsbrTMJaKaT8FRyPDwSp2fRysfBPG_Rc/view?usp=drive_link" TargetMode="External"/><Relationship Id="rId13" Type="http://schemas.openxmlformats.org/officeDocument/2006/relationships/hyperlink" Target="https://drive.google.com/file/d/1EnYH6G-sHe0GUjMRvp7_HfKdHuDmpD0l/view?usp=drive_link" TargetMode="External"/><Relationship Id="rId14" Type="http://schemas.openxmlformats.org/officeDocument/2006/relationships/hyperlink" Target="https://drive.google.com/file/d/1XbKpfQGqV9yhgPcvnjQaTIz-9MGS18gm/view?usp=drive_link" TargetMode="External"/><Relationship Id="rId15" Type="http://schemas.openxmlformats.org/officeDocument/2006/relationships/hyperlink" Target="https://drive.google.com/file/d/13IqyBF8gRCaXM9eCoGgMYNCdGgNoKWRU/view?usp=drive_link" TargetMode="External"/><Relationship Id="rId16" Type="http://schemas.openxmlformats.org/officeDocument/2006/relationships/hyperlink" Target="https://drive.google.com/file/d/1D69phCk-qXUKjK5pGlY0BWsAWaoAxFct/view?usp=drive_link" TargetMode="External"/><Relationship Id="rId17" Type="http://schemas.openxmlformats.org/officeDocument/2006/relationships/hyperlink" Target="https://drive.google.com/file/d/1qBx4QQiXqtWWZc0XrIrlmR9yBELvJwwK/view?usp=drive_link" TargetMode="External"/><Relationship Id="rId18" Type="http://schemas.openxmlformats.org/officeDocument/2006/relationships/hyperlink" Target="https://drive.google.com/file/d/1h5aUdsElWpFBVFxh6_19Y7hh2maZauiu/view?usp=drive_link" TargetMode="External"/><Relationship Id="rId19" Type="http://schemas.openxmlformats.org/officeDocument/2006/relationships/hyperlink" Target="https://drive.google.com/file/d/1g3-_gcYlHRWlFrDPQxYywAUkmL7YN2ln/view?usp=drive_link" TargetMode="External"/><Relationship Id="rId20" Type="http://schemas.openxmlformats.org/officeDocument/2006/relationships/hyperlink" Target="https://drive.google.com/file/d/1EfhqiYqpmK7V7_5_PoqaWpkbKx5njQnz/view?usp=drive_link" TargetMode="External"/><Relationship Id="rId21" Type="http://schemas.openxmlformats.org/officeDocument/2006/relationships/hyperlink" Target="https://drive.google.com/file/d/1k5T2oV5S6f59iSpialOhr58jGth6lZFp/view?usp=drive_link" TargetMode="External"/><Relationship Id="rId22" Type="http://schemas.openxmlformats.org/officeDocument/2006/relationships/hyperlink" Target="https://drive.google.com/file/d/1EnYH6G-sHe0GUjMRvp7_HfKdHuDmpD0l/view?usp=drive_link" TargetMode="External"/><Relationship Id="rId23" Type="http://schemas.openxmlformats.org/officeDocument/2006/relationships/hyperlink" Target="https://drive.google.com/file/d/14n2q3ntwbq5WnSWl6mf1OwElo1QpVJHy/view?usp=drive_link" TargetMode="External"/><Relationship Id="rId24" Type="http://schemas.openxmlformats.org/officeDocument/2006/relationships/hyperlink" Target="https://drive.google.com/file/d/19liJGCszMpRYnT6o5v5GB0HRVARH67ru/view?usp=drive_link" TargetMode="External"/><Relationship Id="rId25" Type="http://schemas.openxmlformats.org/officeDocument/2006/relationships/hyperlink" Target="https://drive.google.com/file/d/1roRSVSyfxTwKx6kjiHPPJiNQWai65_ia/view?usp=drive_link" TargetMode="External"/><Relationship Id="rId26" Type="http://schemas.openxmlformats.org/officeDocument/2006/relationships/hyperlink" Target="https://drive.google.com/file/d/1lFU2EqXEqMVLefWaQKzipQhaApadcNt6/view?usp=drive_link" TargetMode="External"/><Relationship Id="rId27" Type="http://schemas.openxmlformats.org/officeDocument/2006/relationships/hyperlink" Target="https://drive.google.com/file/d/10u5WyFcj3XLuzvGYruM3LVM84lQwNqz5/view?usp=drive_link" TargetMode="External"/><Relationship Id="rId28" Type="http://schemas.openxmlformats.org/officeDocument/2006/relationships/hyperlink" Target="https://drive.google.com/file/d/1oZlc4FaWkXsOO5rkT1fm-veStPkgnKYa/view?usp=drive_link" TargetMode="External"/><Relationship Id="rId29" Type="http://schemas.openxmlformats.org/officeDocument/2006/relationships/hyperlink" Target="https://drive.google.com/file/d/12mJuLnDYgZyp8IdeeMXIfx18sp7GJVH-/view?usp=drive_link" TargetMode="External"/><Relationship Id="rId30" Type="http://schemas.openxmlformats.org/officeDocument/2006/relationships/hyperlink" Target="https://drive.google.com/file/d/1L-qxSjuDvmDOXKpi5ZshTiYZdRfBZ7uO/view?usp=drive_link" TargetMode="External"/><Relationship Id="rId3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2" topLeftCell="I16" activePane="bottomRight" state="frozen"/>
      <selection pane="topLeft" activeCell="A1" activeCellId="0" sqref="A1"/>
      <selection pane="topRight" activeCell="I1" activeCellId="0" sqref="I1"/>
      <selection pane="bottomLeft" activeCell="A16" activeCellId="0" sqref="A16"/>
      <selection pane="bottomRight" activeCell="A19" activeCellId="0" sqref="A19"/>
    </sheetView>
  </sheetViews>
  <sheetFormatPr defaultColWidth="12.6328125" defaultRowHeight="15.75" zeroHeight="false" outlineLevelRow="0" outlineLevelCol="2"/>
  <cols>
    <col collapsed="false" customWidth="true" hidden="false" outlineLevel="0" max="1" min="1" style="1" width="8.88"/>
    <col collapsed="false" customWidth="true" hidden="false" outlineLevel="0" max="2" min="2" style="1" width="12.88"/>
    <col collapsed="false" customWidth="true" hidden="false" outlineLevel="1" max="3" min="3" style="1" width="13.63"/>
    <col collapsed="false" customWidth="true" hidden="false" outlineLevel="2" max="4" min="4" style="1" width="18.08"/>
    <col collapsed="false" customWidth="true" hidden="false" outlineLevel="2" max="5" min="5" style="1" width="24.63"/>
    <col collapsed="false" customWidth="true" hidden="false" outlineLevel="2" max="8" min="6" style="1" width="15.75"/>
    <col collapsed="false" customWidth="true" hidden="false" outlineLevel="2" max="11" min="9" style="1" width="16.89"/>
    <col collapsed="false" customWidth="true" hidden="false" outlineLevel="0" max="13" min="12" style="1" width="26.12"/>
    <col collapsed="false" customWidth="true" hidden="false" outlineLevel="0" max="14" min="14" style="1" width="22.75"/>
    <col collapsed="false" customWidth="true" hidden="false" outlineLevel="0" max="15" min="15" style="1" width="22"/>
    <col collapsed="false" customWidth="true" hidden="false" outlineLevel="0" max="16" min="16" style="1" width="24.25"/>
    <col collapsed="false" customWidth="true" hidden="false" outlineLevel="0" max="19" min="17" style="1" width="22.63"/>
    <col collapsed="false" customWidth="true" hidden="false" outlineLevel="0" max="21" min="20" style="1" width="15.75"/>
    <col collapsed="false" customWidth="true" hidden="false" outlineLevel="0" max="16384" min="16383" style="1" width="11.53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13</v>
      </c>
      <c r="R1" s="8" t="s">
        <v>16</v>
      </c>
      <c r="S1" s="8" t="s">
        <v>17</v>
      </c>
      <c r="T1" s="6" t="s">
        <v>18</v>
      </c>
      <c r="U1" s="6" t="s">
        <v>19</v>
      </c>
      <c r="V1" s="9"/>
      <c r="W1" s="9"/>
      <c r="X1" s="9"/>
      <c r="Y1" s="9"/>
      <c r="Z1" s="9"/>
      <c r="AA1" s="9"/>
      <c r="AB1" s="9"/>
    </row>
    <row r="2" customFormat="false" ht="46.5" hidden="false" customHeight="true" outlineLevel="0" collapsed="false">
      <c r="A2" s="10" t="s">
        <v>20</v>
      </c>
      <c r="B2" s="11" t="s">
        <v>21</v>
      </c>
      <c r="C2" s="12" t="s">
        <v>22</v>
      </c>
      <c r="D2" s="13" t="n">
        <v>0.08</v>
      </c>
      <c r="E2" s="14" t="s">
        <v>23</v>
      </c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6" t="s">
        <v>30</v>
      </c>
      <c r="M2" s="16" t="s">
        <v>31</v>
      </c>
      <c r="N2" s="17" t="s">
        <v>32</v>
      </c>
      <c r="O2" s="18" t="s">
        <v>33</v>
      </c>
      <c r="P2" s="19" t="s">
        <v>34</v>
      </c>
      <c r="Q2" s="19" t="s">
        <v>35</v>
      </c>
      <c r="R2" s="19" t="n">
        <v>1</v>
      </c>
      <c r="S2" s="20" t="n">
        <v>46090</v>
      </c>
      <c r="T2" s="15"/>
      <c r="U2" s="15"/>
      <c r="V2" s="21"/>
      <c r="W2" s="21"/>
      <c r="X2" s="21"/>
      <c r="Y2" s="21"/>
      <c r="Z2" s="21"/>
      <c r="AA2" s="21"/>
      <c r="AB2" s="21"/>
    </row>
    <row r="3" customFormat="false" ht="45.75" hidden="false" customHeight="true" outlineLevel="0" collapsed="false">
      <c r="A3" s="10" t="s">
        <v>36</v>
      </c>
      <c r="B3" s="22" t="s">
        <v>37</v>
      </c>
      <c r="C3" s="12" t="s">
        <v>38</v>
      </c>
      <c r="D3" s="23" t="n">
        <v>0.1</v>
      </c>
      <c r="E3" s="24" t="s">
        <v>39</v>
      </c>
      <c r="F3" s="25" t="s">
        <v>40</v>
      </c>
      <c r="G3" s="26" t="s">
        <v>41</v>
      </c>
      <c r="H3" s="25" t="s">
        <v>42</v>
      </c>
      <c r="I3" s="27" t="s">
        <v>33</v>
      </c>
      <c r="J3" s="27" t="s">
        <v>34</v>
      </c>
      <c r="K3" s="27" t="s">
        <v>35</v>
      </c>
      <c r="L3" s="15" t="s">
        <v>43</v>
      </c>
      <c r="M3" s="15" t="s">
        <v>44</v>
      </c>
      <c r="N3" s="15" t="s">
        <v>45</v>
      </c>
      <c r="O3" s="28" t="s">
        <v>46</v>
      </c>
      <c r="P3" s="29" t="s">
        <v>47</v>
      </c>
      <c r="Q3" s="19" t="s">
        <v>45</v>
      </c>
      <c r="R3" s="19" t="n">
        <f aca="false">R2</f>
        <v>1</v>
      </c>
      <c r="S3" s="20" t="n">
        <f aca="false">S2</f>
        <v>46090</v>
      </c>
      <c r="T3" s="25"/>
      <c r="U3" s="26"/>
      <c r="V3" s="21"/>
      <c r="W3" s="21"/>
      <c r="X3" s="21"/>
      <c r="Y3" s="21"/>
      <c r="Z3" s="21"/>
      <c r="AA3" s="21"/>
      <c r="AB3" s="21"/>
    </row>
    <row r="4" customFormat="false" ht="45.75" hidden="false" customHeight="true" outlineLevel="0" collapsed="false">
      <c r="A4" s="10" t="s">
        <v>48</v>
      </c>
      <c r="B4" s="30" t="s">
        <v>49</v>
      </c>
      <c r="C4" s="31" t="s">
        <v>50</v>
      </c>
      <c r="D4" s="32" t="n">
        <v>0.14</v>
      </c>
      <c r="E4" s="33" t="s">
        <v>51</v>
      </c>
      <c r="F4" s="25" t="s">
        <v>40</v>
      </c>
      <c r="G4" s="25" t="s">
        <v>41</v>
      </c>
      <c r="H4" s="25" t="s">
        <v>42</v>
      </c>
      <c r="I4" s="27" t="s">
        <v>33</v>
      </c>
      <c r="J4" s="27" t="s">
        <v>34</v>
      </c>
      <c r="K4" s="27" t="s">
        <v>35</v>
      </c>
      <c r="L4" s="15" t="s">
        <v>43</v>
      </c>
      <c r="M4" s="15" t="s">
        <v>44</v>
      </c>
      <c r="N4" s="15" t="s">
        <v>45</v>
      </c>
      <c r="O4" s="28" t="s">
        <v>46</v>
      </c>
      <c r="P4" s="29" t="s">
        <v>47</v>
      </c>
      <c r="Q4" s="19" t="s">
        <v>45</v>
      </c>
      <c r="R4" s="19" t="n">
        <f aca="false">R3</f>
        <v>1</v>
      </c>
      <c r="S4" s="20" t="n">
        <f aca="false">S3</f>
        <v>46090</v>
      </c>
      <c r="T4" s="25"/>
      <c r="U4" s="25"/>
      <c r="V4" s="21"/>
      <c r="W4" s="21"/>
      <c r="X4" s="21"/>
      <c r="Y4" s="21"/>
      <c r="Z4" s="21"/>
      <c r="AA4" s="21"/>
      <c r="AB4" s="21"/>
    </row>
    <row r="5" customFormat="false" ht="45.75" hidden="false" customHeight="true" outlineLevel="0" collapsed="false">
      <c r="A5" s="34" t="s">
        <v>52</v>
      </c>
      <c r="B5" s="35" t="s">
        <v>53</v>
      </c>
      <c r="C5" s="31" t="s">
        <v>54</v>
      </c>
      <c r="D5" s="36" t="n">
        <v>0.11</v>
      </c>
      <c r="E5" s="37" t="s">
        <v>55</v>
      </c>
      <c r="F5" s="25" t="s">
        <v>40</v>
      </c>
      <c r="G5" s="25" t="s">
        <v>41</v>
      </c>
      <c r="H5" s="25" t="s">
        <v>42</v>
      </c>
      <c r="I5" s="15" t="s">
        <v>27</v>
      </c>
      <c r="J5" s="15" t="s">
        <v>28</v>
      </c>
      <c r="K5" s="15" t="s">
        <v>29</v>
      </c>
      <c r="L5" s="27" t="s">
        <v>56</v>
      </c>
      <c r="M5" s="27" t="s">
        <v>34</v>
      </c>
      <c r="N5" s="15" t="s">
        <v>35</v>
      </c>
      <c r="O5" s="19" t="s">
        <v>57</v>
      </c>
      <c r="P5" s="19" t="s">
        <v>58</v>
      </c>
      <c r="Q5" s="15" t="s">
        <v>45</v>
      </c>
      <c r="R5" s="19" t="n">
        <f aca="false">R4</f>
        <v>1</v>
      </c>
      <c r="S5" s="20" t="n">
        <f aca="false">S4</f>
        <v>46090</v>
      </c>
      <c r="T5" s="25"/>
      <c r="U5" s="25"/>
      <c r="V5" s="21"/>
      <c r="W5" s="21"/>
      <c r="X5" s="21"/>
      <c r="Y5" s="21"/>
      <c r="Z5" s="21"/>
      <c r="AA5" s="21"/>
      <c r="AB5" s="21"/>
    </row>
    <row r="6" customFormat="false" ht="51.75" hidden="false" customHeight="true" outlineLevel="0" collapsed="false">
      <c r="A6" s="34" t="s">
        <v>59</v>
      </c>
      <c r="B6" s="35" t="s">
        <v>60</v>
      </c>
      <c r="C6" s="31" t="s">
        <v>61</v>
      </c>
      <c r="D6" s="36" t="n">
        <v>0.1</v>
      </c>
      <c r="E6" s="37" t="s">
        <v>62</v>
      </c>
      <c r="F6" s="38" t="s">
        <v>63</v>
      </c>
      <c r="G6" s="25" t="s">
        <v>64</v>
      </c>
      <c r="H6" s="25" t="s">
        <v>65</v>
      </c>
      <c r="I6" s="15" t="s">
        <v>27</v>
      </c>
      <c r="J6" s="15" t="s">
        <v>28</v>
      </c>
      <c r="K6" s="15" t="s">
        <v>29</v>
      </c>
      <c r="L6" s="15" t="s">
        <v>66</v>
      </c>
      <c r="M6" s="15" t="s">
        <v>67</v>
      </c>
      <c r="N6" s="15" t="s">
        <v>45</v>
      </c>
      <c r="O6" s="28" t="s">
        <v>56</v>
      </c>
      <c r="P6" s="29" t="s">
        <v>34</v>
      </c>
      <c r="Q6" s="19" t="s">
        <v>35</v>
      </c>
      <c r="R6" s="19" t="n">
        <f aca="false">R5</f>
        <v>1</v>
      </c>
      <c r="S6" s="20" t="n">
        <f aca="false">S5</f>
        <v>46090</v>
      </c>
      <c r="T6" s="38"/>
      <c r="U6" s="25"/>
      <c r="V6" s="21"/>
      <c r="W6" s="21"/>
      <c r="X6" s="21"/>
      <c r="Y6" s="21"/>
      <c r="Z6" s="21"/>
      <c r="AA6" s="21"/>
      <c r="AB6" s="21"/>
    </row>
    <row r="7" customFormat="false" ht="56.25" hidden="false" customHeight="true" outlineLevel="0" collapsed="false">
      <c r="A7" s="34" t="s">
        <v>68</v>
      </c>
      <c r="B7" s="35" t="s">
        <v>69</v>
      </c>
      <c r="C7" s="31" t="s">
        <v>70</v>
      </c>
      <c r="D7" s="39" t="n">
        <v>0.1</v>
      </c>
      <c r="E7" s="40" t="s">
        <v>71</v>
      </c>
      <c r="F7" s="25" t="s">
        <v>72</v>
      </c>
      <c r="G7" s="25" t="s">
        <v>73</v>
      </c>
      <c r="H7" s="25" t="s">
        <v>74</v>
      </c>
      <c r="I7" s="27" t="s">
        <v>33</v>
      </c>
      <c r="J7" s="27" t="s">
        <v>34</v>
      </c>
      <c r="K7" s="27" t="s">
        <v>35</v>
      </c>
      <c r="L7" s="38" t="s">
        <v>75</v>
      </c>
      <c r="M7" s="41" t="s">
        <v>76</v>
      </c>
      <c r="N7" s="25" t="s">
        <v>77</v>
      </c>
      <c r="O7" s="18" t="s">
        <v>78</v>
      </c>
      <c r="P7" s="19" t="s">
        <v>79</v>
      </c>
      <c r="Q7" s="19" t="s">
        <v>80</v>
      </c>
      <c r="R7" s="19" t="n">
        <f aca="false">R6</f>
        <v>1</v>
      </c>
      <c r="S7" s="20" t="n">
        <f aca="false">S6</f>
        <v>46090</v>
      </c>
      <c r="T7" s="25"/>
      <c r="U7" s="25"/>
      <c r="V7" s="21"/>
      <c r="W7" s="21"/>
      <c r="X7" s="21"/>
      <c r="Y7" s="21"/>
      <c r="Z7" s="21"/>
      <c r="AA7" s="21"/>
      <c r="AB7" s="21"/>
    </row>
    <row r="8" customFormat="false" ht="56.25" hidden="false" customHeight="true" outlineLevel="0" collapsed="false">
      <c r="A8" s="34" t="s">
        <v>81</v>
      </c>
      <c r="B8" s="35" t="s">
        <v>82</v>
      </c>
      <c r="C8" s="31" t="s">
        <v>83</v>
      </c>
      <c r="D8" s="39" t="n">
        <v>0.18</v>
      </c>
      <c r="E8" s="40" t="s">
        <v>84</v>
      </c>
      <c r="F8" s="25" t="s">
        <v>72</v>
      </c>
      <c r="G8" s="25" t="s">
        <v>73</v>
      </c>
      <c r="H8" s="25" t="s">
        <v>74</v>
      </c>
      <c r="I8" s="15" t="s">
        <v>27</v>
      </c>
      <c r="J8" s="15" t="s">
        <v>28</v>
      </c>
      <c r="K8" s="15" t="s">
        <v>29</v>
      </c>
      <c r="L8" s="38" t="s">
        <v>63</v>
      </c>
      <c r="M8" s="41" t="s">
        <v>64</v>
      </c>
      <c r="N8" s="25" t="s">
        <v>85</v>
      </c>
      <c r="O8" s="28" t="s">
        <v>56</v>
      </c>
      <c r="P8" s="29" t="s">
        <v>34</v>
      </c>
      <c r="Q8" s="19" t="s">
        <v>35</v>
      </c>
      <c r="R8" s="19" t="n">
        <f aca="false">R7</f>
        <v>1</v>
      </c>
      <c r="S8" s="20" t="n">
        <f aca="false">S7</f>
        <v>46090</v>
      </c>
      <c r="T8" s="25"/>
      <c r="U8" s="25"/>
      <c r="V8" s="21"/>
      <c r="W8" s="21"/>
      <c r="X8" s="21"/>
      <c r="Y8" s="21"/>
      <c r="Z8" s="21"/>
      <c r="AA8" s="21"/>
      <c r="AB8" s="21"/>
    </row>
    <row r="9" customFormat="false" ht="44.25" hidden="false" customHeight="true" outlineLevel="0" collapsed="false">
      <c r="A9" s="34" t="s">
        <v>86</v>
      </c>
      <c r="B9" s="35" t="s">
        <v>87</v>
      </c>
      <c r="C9" s="31" t="s">
        <v>88</v>
      </c>
      <c r="D9" s="36" t="n">
        <v>0.17</v>
      </c>
      <c r="E9" s="37" t="s">
        <v>89</v>
      </c>
      <c r="F9" s="25" t="s">
        <v>90</v>
      </c>
      <c r="G9" s="25" t="s">
        <v>91</v>
      </c>
      <c r="H9" s="25" t="s">
        <v>92</v>
      </c>
      <c r="I9" s="15" t="s">
        <v>27</v>
      </c>
      <c r="J9" s="15" t="s">
        <v>28</v>
      </c>
      <c r="K9" s="15" t="s">
        <v>29</v>
      </c>
      <c r="L9" s="16" t="s">
        <v>93</v>
      </c>
      <c r="M9" s="16" t="s">
        <v>34</v>
      </c>
      <c r="N9" s="17" t="s">
        <v>35</v>
      </c>
      <c r="O9" s="18" t="s">
        <v>94</v>
      </c>
      <c r="P9" s="42" t="s">
        <v>95</v>
      </c>
      <c r="Q9" s="42" t="s">
        <v>96</v>
      </c>
      <c r="R9" s="19" t="n">
        <f aca="false">R8</f>
        <v>1</v>
      </c>
      <c r="S9" s="20" t="n">
        <f aca="false">S8</f>
        <v>46090</v>
      </c>
      <c r="T9" s="25"/>
      <c r="U9" s="25"/>
      <c r="V9" s="21"/>
      <c r="W9" s="21"/>
      <c r="X9" s="21"/>
      <c r="Y9" s="21"/>
      <c r="Z9" s="21"/>
      <c r="AA9" s="21"/>
      <c r="AB9" s="21"/>
    </row>
    <row r="10" customFormat="false" ht="56.25" hidden="false" customHeight="true" outlineLevel="0" collapsed="false">
      <c r="A10" s="43" t="s">
        <v>20</v>
      </c>
      <c r="B10" s="44" t="s">
        <v>97</v>
      </c>
      <c r="C10" s="45" t="s">
        <v>98</v>
      </c>
      <c r="D10" s="46" t="n">
        <v>0.15</v>
      </c>
      <c r="E10" s="47" t="s">
        <v>99</v>
      </c>
      <c r="F10" s="48" t="s">
        <v>100</v>
      </c>
      <c r="G10" s="48" t="s">
        <v>101</v>
      </c>
      <c r="H10" s="48" t="s">
        <v>102</v>
      </c>
      <c r="I10" s="49" t="s">
        <v>103</v>
      </c>
      <c r="J10" s="49" t="s">
        <v>104</v>
      </c>
      <c r="K10" s="49" t="s">
        <v>105</v>
      </c>
      <c r="L10" s="50" t="s">
        <v>106</v>
      </c>
      <c r="M10" s="50" t="s">
        <v>107</v>
      </c>
      <c r="N10" s="51" t="s">
        <v>35</v>
      </c>
      <c r="O10" s="50" t="s">
        <v>108</v>
      </c>
      <c r="P10" s="52" t="s">
        <v>109</v>
      </c>
      <c r="Q10" s="52" t="s">
        <v>35</v>
      </c>
      <c r="R10" s="19" t="n">
        <v>2</v>
      </c>
      <c r="S10" s="20" t="n">
        <f aca="false">S9</f>
        <v>46090</v>
      </c>
      <c r="T10" s="48"/>
      <c r="U10" s="48"/>
      <c r="V10" s="21"/>
      <c r="W10" s="21"/>
      <c r="X10" s="21"/>
      <c r="Y10" s="21"/>
      <c r="Z10" s="21"/>
      <c r="AA10" s="21"/>
      <c r="AB10" s="21"/>
    </row>
    <row r="11" customFormat="false" ht="56.25" hidden="false" customHeight="true" outlineLevel="0" collapsed="false">
      <c r="A11" s="43" t="s">
        <v>36</v>
      </c>
      <c r="B11" s="44" t="s">
        <v>110</v>
      </c>
      <c r="C11" s="45" t="s">
        <v>111</v>
      </c>
      <c r="D11" s="53" t="n">
        <v>0.1</v>
      </c>
      <c r="E11" s="54" t="s">
        <v>112</v>
      </c>
      <c r="F11" s="49" t="s">
        <v>113</v>
      </c>
      <c r="G11" s="49" t="s">
        <v>114</v>
      </c>
      <c r="H11" s="49" t="s">
        <v>115</v>
      </c>
      <c r="I11" s="50" t="s">
        <v>106</v>
      </c>
      <c r="J11" s="52" t="s">
        <v>116</v>
      </c>
      <c r="K11" s="50" t="s">
        <v>35</v>
      </c>
      <c r="L11" s="55" t="s">
        <v>117</v>
      </c>
      <c r="M11" s="55" t="s">
        <v>31</v>
      </c>
      <c r="N11" s="49" t="s">
        <v>32</v>
      </c>
      <c r="O11" s="50" t="s">
        <v>118</v>
      </c>
      <c r="P11" s="52" t="s">
        <v>73</v>
      </c>
      <c r="Q11" s="56" t="s">
        <v>119</v>
      </c>
      <c r="R11" s="19" t="n">
        <f aca="false">R10</f>
        <v>2</v>
      </c>
      <c r="S11" s="20" t="n">
        <f aca="false">S10</f>
        <v>46090</v>
      </c>
      <c r="T11" s="49"/>
      <c r="U11" s="49"/>
      <c r="V11" s="21"/>
      <c r="W11" s="21"/>
      <c r="X11" s="21"/>
      <c r="Y11" s="21"/>
      <c r="Z11" s="21"/>
      <c r="AA11" s="21"/>
      <c r="AB11" s="21"/>
    </row>
    <row r="12" customFormat="false" ht="56.25" hidden="false" customHeight="true" outlineLevel="0" collapsed="false">
      <c r="A12" s="43" t="s">
        <v>48</v>
      </c>
      <c r="B12" s="57" t="s">
        <v>120</v>
      </c>
      <c r="C12" s="58" t="s">
        <v>121</v>
      </c>
      <c r="D12" s="59" t="n">
        <v>0.22</v>
      </c>
      <c r="E12" s="60" t="s">
        <v>122</v>
      </c>
      <c r="F12" s="49" t="s">
        <v>113</v>
      </c>
      <c r="G12" s="61" t="s">
        <v>114</v>
      </c>
      <c r="H12" s="61" t="s">
        <v>115</v>
      </c>
      <c r="I12" s="49" t="s">
        <v>103</v>
      </c>
      <c r="J12" s="49" t="s">
        <v>104</v>
      </c>
      <c r="K12" s="49" t="s">
        <v>105</v>
      </c>
      <c r="L12" s="50" t="s">
        <v>106</v>
      </c>
      <c r="M12" s="50" t="s">
        <v>107</v>
      </c>
      <c r="N12" s="51" t="s">
        <v>35</v>
      </c>
      <c r="O12" s="52" t="s">
        <v>123</v>
      </c>
      <c r="P12" s="52" t="s">
        <v>124</v>
      </c>
      <c r="Q12" s="56" t="s">
        <v>35</v>
      </c>
      <c r="R12" s="19" t="n">
        <f aca="false">R11</f>
        <v>2</v>
      </c>
      <c r="S12" s="20" t="n">
        <f aca="false">S11</f>
        <v>46090</v>
      </c>
      <c r="T12" s="49"/>
      <c r="U12" s="61"/>
      <c r="V12" s="21"/>
      <c r="W12" s="21"/>
      <c r="X12" s="21"/>
      <c r="Y12" s="21"/>
      <c r="Z12" s="21"/>
      <c r="AA12" s="21"/>
      <c r="AB12" s="21"/>
    </row>
    <row r="13" customFormat="false" ht="54.75" hidden="false" customHeight="true" outlineLevel="0" collapsed="false">
      <c r="A13" s="43" t="s">
        <v>52</v>
      </c>
      <c r="B13" s="44" t="s">
        <v>125</v>
      </c>
      <c r="C13" s="45" t="s">
        <v>126</v>
      </c>
      <c r="D13" s="53" t="n">
        <v>0.1</v>
      </c>
      <c r="E13" s="54" t="s">
        <v>127</v>
      </c>
      <c r="F13" s="62" t="s">
        <v>46</v>
      </c>
      <c r="G13" s="62" t="s">
        <v>128</v>
      </c>
      <c r="H13" s="62" t="s">
        <v>129</v>
      </c>
      <c r="I13" s="49" t="s">
        <v>103</v>
      </c>
      <c r="J13" s="49" t="s">
        <v>104</v>
      </c>
      <c r="K13" s="49" t="s">
        <v>105</v>
      </c>
      <c r="L13" s="50" t="s">
        <v>106</v>
      </c>
      <c r="M13" s="50" t="s">
        <v>107</v>
      </c>
      <c r="N13" s="51" t="s">
        <v>35</v>
      </c>
      <c r="O13" s="48" t="s">
        <v>90</v>
      </c>
      <c r="P13" s="49" t="s">
        <v>91</v>
      </c>
      <c r="Q13" s="52" t="s">
        <v>92</v>
      </c>
      <c r="R13" s="19" t="n">
        <f aca="false">R12</f>
        <v>2</v>
      </c>
      <c r="S13" s="20" t="n">
        <f aca="false">S12</f>
        <v>46090</v>
      </c>
      <c r="T13" s="62"/>
      <c r="U13" s="62"/>
      <c r="V13" s="21"/>
      <c r="W13" s="21"/>
      <c r="X13" s="21"/>
      <c r="Y13" s="21"/>
      <c r="Z13" s="21"/>
      <c r="AA13" s="21"/>
      <c r="AB13" s="21"/>
    </row>
    <row r="14" customFormat="false" ht="75.75" hidden="false" customHeight="true" outlineLevel="0" collapsed="false">
      <c r="A14" s="63" t="s">
        <v>59</v>
      </c>
      <c r="B14" s="64" t="s">
        <v>130</v>
      </c>
      <c r="C14" s="65" t="s">
        <v>131</v>
      </c>
      <c r="D14" s="66" t="n">
        <v>0.15</v>
      </c>
      <c r="E14" s="67" t="s">
        <v>132</v>
      </c>
      <c r="F14" s="68" t="s">
        <v>133</v>
      </c>
      <c r="G14" s="68" t="s">
        <v>134</v>
      </c>
      <c r="H14" s="68" t="s">
        <v>135</v>
      </c>
      <c r="I14" s="69" t="s">
        <v>103</v>
      </c>
      <c r="J14" s="69" t="s">
        <v>104</v>
      </c>
      <c r="K14" s="69" t="s">
        <v>105</v>
      </c>
      <c r="L14" s="69" t="s">
        <v>136</v>
      </c>
      <c r="M14" s="68" t="s">
        <v>137</v>
      </c>
      <c r="N14" s="68" t="s">
        <v>138</v>
      </c>
      <c r="O14" s="68" t="s">
        <v>90</v>
      </c>
      <c r="P14" s="69" t="s">
        <v>91</v>
      </c>
      <c r="Q14" s="70" t="s">
        <v>92</v>
      </c>
      <c r="R14" s="19" t="n">
        <f aca="false">R13</f>
        <v>2</v>
      </c>
      <c r="S14" s="20" t="n">
        <f aca="false">S13</f>
        <v>46090</v>
      </c>
      <c r="T14" s="68" t="s">
        <v>139</v>
      </c>
      <c r="U14" s="68" t="s">
        <v>114</v>
      </c>
      <c r="V14" s="71"/>
      <c r="W14" s="71"/>
      <c r="X14" s="71"/>
      <c r="Y14" s="71"/>
      <c r="Z14" s="71"/>
      <c r="AA14" s="71"/>
      <c r="AB14" s="71"/>
    </row>
    <row r="15" customFormat="false" ht="67.5" hidden="false" customHeight="true" outlineLevel="0" collapsed="false">
      <c r="A15" s="72" t="s">
        <v>68</v>
      </c>
      <c r="B15" s="73" t="s">
        <v>140</v>
      </c>
      <c r="C15" s="45" t="s">
        <v>141</v>
      </c>
      <c r="D15" s="46" t="n">
        <v>0.13</v>
      </c>
      <c r="E15" s="47" t="s">
        <v>142</v>
      </c>
      <c r="F15" s="48" t="s">
        <v>143</v>
      </c>
      <c r="G15" s="48" t="s">
        <v>144</v>
      </c>
      <c r="H15" s="48" t="s">
        <v>145</v>
      </c>
      <c r="I15" s="49" t="s">
        <v>103</v>
      </c>
      <c r="J15" s="49" t="s">
        <v>104</v>
      </c>
      <c r="K15" s="49" t="s">
        <v>105</v>
      </c>
      <c r="L15" s="52" t="s">
        <v>106</v>
      </c>
      <c r="M15" s="50" t="s">
        <v>107</v>
      </c>
      <c r="N15" s="74" t="s">
        <v>35</v>
      </c>
      <c r="O15" s="48" t="s">
        <v>90</v>
      </c>
      <c r="P15" s="49" t="s">
        <v>91</v>
      </c>
      <c r="Q15" s="52" t="s">
        <v>92</v>
      </c>
      <c r="R15" s="19" t="n">
        <f aca="false">R14</f>
        <v>2</v>
      </c>
      <c r="S15" s="20" t="n">
        <f aca="false">S14</f>
        <v>46090</v>
      </c>
      <c r="T15" s="48"/>
      <c r="U15" s="48"/>
      <c r="V15" s="21"/>
      <c r="W15" s="21"/>
      <c r="X15" s="21"/>
      <c r="Y15" s="21"/>
      <c r="Z15" s="21"/>
      <c r="AA15" s="21"/>
      <c r="AB15" s="21"/>
    </row>
    <row r="16" customFormat="false" ht="59.25" hidden="false" customHeight="true" outlineLevel="0" collapsed="false">
      <c r="A16" s="75" t="s">
        <v>81</v>
      </c>
      <c r="B16" s="76" t="s">
        <v>146</v>
      </c>
      <c r="C16" s="77" t="s">
        <v>147</v>
      </c>
      <c r="D16" s="78" t="n">
        <v>0.15</v>
      </c>
      <c r="E16" s="79" t="s">
        <v>148</v>
      </c>
      <c r="F16" s="80" t="s">
        <v>149</v>
      </c>
      <c r="G16" s="80" t="s">
        <v>150</v>
      </c>
      <c r="H16" s="80" t="s">
        <v>151</v>
      </c>
      <c r="I16" s="49" t="s">
        <v>103</v>
      </c>
      <c r="J16" s="49" t="s">
        <v>104</v>
      </c>
      <c r="K16" s="49" t="s">
        <v>105</v>
      </c>
      <c r="L16" s="50" t="s">
        <v>106</v>
      </c>
      <c r="M16" s="50" t="s">
        <v>107</v>
      </c>
      <c r="N16" s="51" t="s">
        <v>35</v>
      </c>
      <c r="O16" s="81" t="s">
        <v>117</v>
      </c>
      <c r="P16" s="55" t="s">
        <v>31</v>
      </c>
      <c r="Q16" s="49" t="s">
        <v>32</v>
      </c>
      <c r="R16" s="19" t="n">
        <f aca="false">R15</f>
        <v>2</v>
      </c>
      <c r="S16" s="20" t="n">
        <f aca="false">S15</f>
        <v>46090</v>
      </c>
      <c r="T16" s="80"/>
      <c r="U16" s="80"/>
      <c r="V16" s="82"/>
      <c r="W16" s="82"/>
      <c r="X16" s="82"/>
      <c r="Y16" s="82"/>
      <c r="Z16" s="82"/>
      <c r="AA16" s="82"/>
      <c r="AB16" s="82"/>
    </row>
    <row r="17" customFormat="false" ht="59.25" hidden="false" customHeight="true" outlineLevel="0" collapsed="false">
      <c r="A17" s="43" t="s">
        <v>152</v>
      </c>
      <c r="B17" s="44" t="s">
        <v>153</v>
      </c>
      <c r="C17" s="45" t="s">
        <v>154</v>
      </c>
      <c r="D17" s="46" t="n">
        <v>0.12</v>
      </c>
      <c r="E17" s="47" t="s">
        <v>155</v>
      </c>
      <c r="F17" s="83" t="s">
        <v>149</v>
      </c>
      <c r="G17" s="83" t="s">
        <v>150</v>
      </c>
      <c r="H17" s="83" t="s">
        <v>151</v>
      </c>
      <c r="I17" s="49" t="s">
        <v>103</v>
      </c>
      <c r="J17" s="49" t="s">
        <v>104</v>
      </c>
      <c r="K17" s="49" t="s">
        <v>105</v>
      </c>
      <c r="L17" s="55" t="s">
        <v>117</v>
      </c>
      <c r="M17" s="55" t="s">
        <v>31</v>
      </c>
      <c r="N17" s="49" t="s">
        <v>32</v>
      </c>
      <c r="O17" s="52" t="s">
        <v>90</v>
      </c>
      <c r="P17" s="49" t="s">
        <v>91</v>
      </c>
      <c r="Q17" s="52" t="s">
        <v>92</v>
      </c>
      <c r="R17" s="19" t="n">
        <v>2</v>
      </c>
      <c r="S17" s="20" t="n">
        <f aca="false">S16</f>
        <v>46090</v>
      </c>
      <c r="T17" s="83"/>
      <c r="U17" s="83"/>
      <c r="V17" s="21"/>
      <c r="W17" s="21"/>
      <c r="X17" s="21"/>
      <c r="Y17" s="21"/>
      <c r="Z17" s="21"/>
      <c r="AA17" s="21"/>
      <c r="AB17" s="21"/>
    </row>
    <row r="18" customFormat="false" ht="53.25" hidden="false" customHeight="true" outlineLevel="0" collapsed="false">
      <c r="A18" s="84" t="s">
        <v>20</v>
      </c>
      <c r="B18" s="85" t="s">
        <v>53</v>
      </c>
      <c r="C18" s="86" t="s">
        <v>156</v>
      </c>
      <c r="D18" s="87" t="n">
        <v>0.09</v>
      </c>
      <c r="E18" s="88" t="s">
        <v>157</v>
      </c>
      <c r="F18" s="89" t="s">
        <v>158</v>
      </c>
      <c r="G18" s="89" t="s">
        <v>159</v>
      </c>
      <c r="H18" s="89" t="s">
        <v>74</v>
      </c>
      <c r="I18" s="90" t="s">
        <v>160</v>
      </c>
      <c r="J18" s="91" t="s">
        <v>161</v>
      </c>
      <c r="K18" s="91" t="s">
        <v>105</v>
      </c>
      <c r="L18" s="91" t="s">
        <v>123</v>
      </c>
      <c r="M18" s="92" t="s">
        <v>124</v>
      </c>
      <c r="N18" s="91" t="s">
        <v>35</v>
      </c>
      <c r="O18" s="91" t="s">
        <v>162</v>
      </c>
      <c r="P18" s="91" t="s">
        <v>163</v>
      </c>
      <c r="Q18" s="91" t="s">
        <v>164</v>
      </c>
      <c r="R18" s="91" t="n">
        <v>1</v>
      </c>
      <c r="S18" s="20" t="n">
        <v>46091</v>
      </c>
      <c r="T18" s="89"/>
      <c r="U18" s="89"/>
      <c r="V18" s="93"/>
      <c r="W18" s="93"/>
      <c r="X18" s="93"/>
      <c r="Y18" s="93"/>
      <c r="Z18" s="93"/>
      <c r="AA18" s="93"/>
      <c r="AB18" s="93"/>
    </row>
    <row r="19" customFormat="false" ht="79.5" hidden="false" customHeight="true" outlineLevel="0" collapsed="false">
      <c r="A19" s="84" t="s">
        <v>48</v>
      </c>
      <c r="B19" s="85" t="s">
        <v>165</v>
      </c>
      <c r="C19" s="86" t="s">
        <v>166</v>
      </c>
      <c r="D19" s="87" t="n">
        <v>0.16</v>
      </c>
      <c r="E19" s="88" t="s">
        <v>167</v>
      </c>
      <c r="F19" s="89" t="s">
        <v>24</v>
      </c>
      <c r="G19" s="89" t="s">
        <v>25</v>
      </c>
      <c r="H19" s="89" t="s">
        <v>26</v>
      </c>
      <c r="I19" s="90" t="s">
        <v>160</v>
      </c>
      <c r="J19" s="91" t="s">
        <v>161</v>
      </c>
      <c r="K19" s="91" t="s">
        <v>105</v>
      </c>
      <c r="L19" s="94" t="s">
        <v>168</v>
      </c>
      <c r="M19" s="94" t="s">
        <v>169</v>
      </c>
      <c r="N19" s="94" t="s">
        <v>170</v>
      </c>
      <c r="O19" s="92" t="s">
        <v>113</v>
      </c>
      <c r="P19" s="91" t="s">
        <v>171</v>
      </c>
      <c r="Q19" s="91" t="s">
        <v>172</v>
      </c>
      <c r="R19" s="91" t="e">
        <f aca="false">#REF!</f>
        <v>#REF!</v>
      </c>
      <c r="S19" s="95" t="e">
        <f aca="false">#REF!</f>
        <v>#REF!</v>
      </c>
      <c r="T19" s="89"/>
      <c r="U19" s="89"/>
      <c r="V19" s="21"/>
      <c r="W19" s="21"/>
      <c r="X19" s="21"/>
      <c r="Y19" s="21"/>
      <c r="Z19" s="21"/>
      <c r="AA19" s="21"/>
      <c r="AB19" s="21"/>
    </row>
    <row r="20" customFormat="false" ht="51.75" hidden="false" customHeight="true" outlineLevel="0" collapsed="false">
      <c r="A20" s="96" t="s">
        <v>52</v>
      </c>
      <c r="B20" s="96" t="s">
        <v>173</v>
      </c>
      <c r="C20" s="97" t="s">
        <v>174</v>
      </c>
      <c r="D20" s="98" t="n">
        <v>0.14</v>
      </c>
      <c r="E20" s="99" t="s">
        <v>175</v>
      </c>
      <c r="F20" s="89" t="s">
        <v>176</v>
      </c>
      <c r="G20" s="89" t="s">
        <v>73</v>
      </c>
      <c r="H20" s="89" t="s">
        <v>74</v>
      </c>
      <c r="I20" s="90" t="s">
        <v>160</v>
      </c>
      <c r="J20" s="91" t="s">
        <v>161</v>
      </c>
      <c r="K20" s="91" t="s">
        <v>105</v>
      </c>
      <c r="L20" s="92" t="s">
        <v>78</v>
      </c>
      <c r="M20" s="92" t="s">
        <v>79</v>
      </c>
      <c r="N20" s="91" t="s">
        <v>80</v>
      </c>
      <c r="O20" s="100" t="s">
        <v>90</v>
      </c>
      <c r="P20" s="91" t="s">
        <v>91</v>
      </c>
      <c r="Q20" s="100" t="s">
        <v>92</v>
      </c>
      <c r="R20" s="91" t="e">
        <f aca="false">R19</f>
        <v>#REF!</v>
      </c>
      <c r="S20" s="95" t="e">
        <f aca="false">S19</f>
        <v>#REF!</v>
      </c>
      <c r="T20" s="89"/>
      <c r="U20" s="89"/>
      <c r="V20" s="21"/>
      <c r="W20" s="21"/>
      <c r="X20" s="21"/>
      <c r="Y20" s="21"/>
      <c r="Z20" s="21"/>
      <c r="AA20" s="21"/>
      <c r="AB20" s="21"/>
    </row>
    <row r="21" customFormat="false" ht="51.75" hidden="false" customHeight="true" outlineLevel="0" collapsed="false">
      <c r="A21" s="84" t="s">
        <v>59</v>
      </c>
      <c r="B21" s="85" t="s">
        <v>177</v>
      </c>
      <c r="C21" s="86" t="s">
        <v>178</v>
      </c>
      <c r="D21" s="87" t="n">
        <v>0.23</v>
      </c>
      <c r="E21" s="88" t="s">
        <v>179</v>
      </c>
      <c r="F21" s="89" t="s">
        <v>176</v>
      </c>
      <c r="G21" s="89" t="s">
        <v>73</v>
      </c>
      <c r="H21" s="89" t="s">
        <v>74</v>
      </c>
      <c r="I21" s="90" t="s">
        <v>160</v>
      </c>
      <c r="J21" s="91" t="s">
        <v>161</v>
      </c>
      <c r="K21" s="91" t="s">
        <v>105</v>
      </c>
      <c r="L21" s="92" t="s">
        <v>113</v>
      </c>
      <c r="M21" s="91" t="s">
        <v>171</v>
      </c>
      <c r="N21" s="91" t="s">
        <v>172</v>
      </c>
      <c r="O21" s="101" t="s">
        <v>78</v>
      </c>
      <c r="P21" s="100" t="s">
        <v>79</v>
      </c>
      <c r="Q21" s="100" t="s">
        <v>80</v>
      </c>
      <c r="R21" s="91" t="e">
        <f aca="false">R20</f>
        <v>#REF!</v>
      </c>
      <c r="S21" s="95" t="e">
        <f aca="false">S20</f>
        <v>#REF!</v>
      </c>
      <c r="T21" s="89"/>
      <c r="U21" s="89"/>
      <c r="V21" s="21"/>
      <c r="W21" s="21"/>
      <c r="X21" s="21"/>
      <c r="Y21" s="21"/>
      <c r="Z21" s="21"/>
      <c r="AA21" s="21"/>
      <c r="AB21" s="21"/>
    </row>
    <row r="22" customFormat="false" ht="51.75" hidden="false" customHeight="true" outlineLevel="0" collapsed="false">
      <c r="A22" s="84" t="s">
        <v>68</v>
      </c>
      <c r="B22" s="85" t="s">
        <v>180</v>
      </c>
      <c r="C22" s="85" t="s">
        <v>181</v>
      </c>
      <c r="D22" s="102" t="n">
        <v>0.16</v>
      </c>
      <c r="E22" s="103" t="s">
        <v>182</v>
      </c>
      <c r="F22" s="104" t="s">
        <v>183</v>
      </c>
      <c r="G22" s="91" t="s">
        <v>184</v>
      </c>
      <c r="H22" s="91" t="s">
        <v>185</v>
      </c>
      <c r="I22" s="90" t="s">
        <v>160</v>
      </c>
      <c r="J22" s="91" t="s">
        <v>161</v>
      </c>
      <c r="K22" s="91" t="s">
        <v>105</v>
      </c>
      <c r="L22" s="105" t="s">
        <v>186</v>
      </c>
      <c r="M22" s="105" t="s">
        <v>187</v>
      </c>
      <c r="N22" s="94" t="s">
        <v>188</v>
      </c>
      <c r="O22" s="101" t="s">
        <v>78</v>
      </c>
      <c r="P22" s="100" t="s">
        <v>189</v>
      </c>
      <c r="Q22" s="100" t="s">
        <v>80</v>
      </c>
      <c r="R22" s="91" t="e">
        <f aca="false">R21</f>
        <v>#REF!</v>
      </c>
      <c r="S22" s="95" t="e">
        <f aca="false">S21</f>
        <v>#REF!</v>
      </c>
      <c r="T22" s="104"/>
      <c r="U22" s="91"/>
      <c r="V22" s="106"/>
      <c r="W22" s="106"/>
      <c r="X22" s="21"/>
      <c r="Y22" s="21"/>
      <c r="Z22" s="21"/>
      <c r="AA22" s="21"/>
      <c r="AB22" s="21"/>
    </row>
    <row r="23" customFormat="false" ht="51.75" hidden="false" customHeight="true" outlineLevel="0" collapsed="false">
      <c r="A23" s="84" t="s">
        <v>81</v>
      </c>
      <c r="B23" s="85" t="s">
        <v>130</v>
      </c>
      <c r="C23" s="85" t="s">
        <v>131</v>
      </c>
      <c r="D23" s="107" t="n">
        <v>0.15</v>
      </c>
      <c r="E23" s="108" t="s">
        <v>132</v>
      </c>
      <c r="F23" s="104" t="s">
        <v>133</v>
      </c>
      <c r="G23" s="91" t="s">
        <v>190</v>
      </c>
      <c r="H23" s="91" t="s">
        <v>135</v>
      </c>
      <c r="I23" s="90" t="s">
        <v>160</v>
      </c>
      <c r="J23" s="91" t="s">
        <v>161</v>
      </c>
      <c r="K23" s="91" t="s">
        <v>105</v>
      </c>
      <c r="L23" s="105" t="s">
        <v>136</v>
      </c>
      <c r="M23" s="105" t="s">
        <v>137</v>
      </c>
      <c r="N23" s="94" t="s">
        <v>138</v>
      </c>
      <c r="O23" s="101" t="s">
        <v>90</v>
      </c>
      <c r="P23" s="100" t="s">
        <v>91</v>
      </c>
      <c r="Q23" s="100" t="s">
        <v>92</v>
      </c>
      <c r="R23" s="91" t="e">
        <f aca="false">R22</f>
        <v>#REF!</v>
      </c>
      <c r="S23" s="95" t="e">
        <f aca="false">S22</f>
        <v>#REF!</v>
      </c>
      <c r="T23" s="104" t="s">
        <v>139</v>
      </c>
      <c r="U23" s="91" t="s">
        <v>114</v>
      </c>
      <c r="V23" s="106"/>
      <c r="W23" s="106"/>
      <c r="X23" s="21"/>
      <c r="Y23" s="21"/>
      <c r="Z23" s="21"/>
      <c r="AA23" s="21"/>
      <c r="AB23" s="21"/>
    </row>
    <row r="24" customFormat="false" ht="65.25" hidden="false" customHeight="true" outlineLevel="0" collapsed="false">
      <c r="A24" s="109" t="s">
        <v>20</v>
      </c>
      <c r="B24" s="110" t="s">
        <v>191</v>
      </c>
      <c r="C24" s="111" t="s">
        <v>192</v>
      </c>
      <c r="D24" s="112" t="n">
        <v>0.25</v>
      </c>
      <c r="E24" s="113" t="s">
        <v>193</v>
      </c>
      <c r="F24" s="114" t="s">
        <v>194</v>
      </c>
      <c r="G24" s="114" t="s">
        <v>195</v>
      </c>
      <c r="H24" s="114" t="s">
        <v>196</v>
      </c>
      <c r="I24" s="115" t="s">
        <v>33</v>
      </c>
      <c r="J24" s="115" t="s">
        <v>34</v>
      </c>
      <c r="K24" s="115" t="s">
        <v>35</v>
      </c>
      <c r="L24" s="115" t="s">
        <v>162</v>
      </c>
      <c r="M24" s="115" t="s">
        <v>163</v>
      </c>
      <c r="N24" s="115" t="s">
        <v>164</v>
      </c>
      <c r="O24" s="116" t="s">
        <v>186</v>
      </c>
      <c r="P24" s="116" t="s">
        <v>187</v>
      </c>
      <c r="Q24" s="117" t="s">
        <v>188</v>
      </c>
      <c r="R24" s="117" t="n">
        <v>2</v>
      </c>
      <c r="S24" s="95" t="e">
        <f aca="false">S23</f>
        <v>#REF!</v>
      </c>
      <c r="T24" s="114"/>
      <c r="U24" s="114"/>
      <c r="V24" s="21"/>
      <c r="W24" s="21"/>
      <c r="X24" s="21"/>
      <c r="Y24" s="21"/>
      <c r="Z24" s="21"/>
      <c r="AA24" s="21"/>
      <c r="AB24" s="21"/>
    </row>
    <row r="25" customFormat="false" ht="50.25" hidden="false" customHeight="true" outlineLevel="0" collapsed="false">
      <c r="A25" s="118" t="s">
        <v>36</v>
      </c>
      <c r="B25" s="110" t="s">
        <v>197</v>
      </c>
      <c r="C25" s="111" t="s">
        <v>198</v>
      </c>
      <c r="D25" s="119" t="n">
        <v>0.18</v>
      </c>
      <c r="E25" s="120" t="s">
        <v>199</v>
      </c>
      <c r="F25" s="121" t="s">
        <v>90</v>
      </c>
      <c r="G25" s="121" t="s">
        <v>91</v>
      </c>
      <c r="H25" s="121" t="s">
        <v>200</v>
      </c>
      <c r="I25" s="115" t="s">
        <v>27</v>
      </c>
      <c r="J25" s="115" t="s">
        <v>28</v>
      </c>
      <c r="K25" s="115" t="s">
        <v>29</v>
      </c>
      <c r="L25" s="116" t="s">
        <v>117</v>
      </c>
      <c r="M25" s="122" t="s">
        <v>31</v>
      </c>
      <c r="N25" s="115" t="s">
        <v>32</v>
      </c>
      <c r="O25" s="115" t="s">
        <v>33</v>
      </c>
      <c r="P25" s="115" t="s">
        <v>34</v>
      </c>
      <c r="Q25" s="123" t="s">
        <v>35</v>
      </c>
      <c r="R25" s="123" t="n">
        <f aca="false">R24</f>
        <v>2</v>
      </c>
      <c r="S25" s="95" t="e">
        <f aca="false">S24</f>
        <v>#REF!</v>
      </c>
      <c r="T25" s="121"/>
      <c r="U25" s="121"/>
      <c r="V25" s="21"/>
      <c r="W25" s="21"/>
      <c r="X25" s="21"/>
      <c r="Y25" s="21"/>
      <c r="Z25" s="21"/>
      <c r="AA25" s="21"/>
      <c r="AB25" s="21"/>
    </row>
    <row r="26" customFormat="false" ht="50.25" hidden="false" customHeight="true" outlineLevel="0" collapsed="false">
      <c r="A26" s="118" t="s">
        <v>48</v>
      </c>
      <c r="B26" s="110" t="s">
        <v>201</v>
      </c>
      <c r="C26" s="111" t="s">
        <v>202</v>
      </c>
      <c r="D26" s="124" t="n">
        <v>0.15</v>
      </c>
      <c r="E26" s="125" t="s">
        <v>203</v>
      </c>
      <c r="F26" s="121" t="s">
        <v>90</v>
      </c>
      <c r="G26" s="121" t="s">
        <v>91</v>
      </c>
      <c r="H26" s="121" t="s">
        <v>204</v>
      </c>
      <c r="I26" s="115" t="s">
        <v>33</v>
      </c>
      <c r="J26" s="115" t="s">
        <v>34</v>
      </c>
      <c r="K26" s="115" t="s">
        <v>35</v>
      </c>
      <c r="L26" s="122" t="s">
        <v>205</v>
      </c>
      <c r="M26" s="126" t="s">
        <v>206</v>
      </c>
      <c r="N26" s="121" t="s">
        <v>207</v>
      </c>
      <c r="O26" s="121" t="s">
        <v>162</v>
      </c>
      <c r="P26" s="115" t="s">
        <v>163</v>
      </c>
      <c r="Q26" s="123" t="s">
        <v>164</v>
      </c>
      <c r="R26" s="123" t="n">
        <f aca="false">R25</f>
        <v>2</v>
      </c>
      <c r="S26" s="95" t="e">
        <f aca="false">S25</f>
        <v>#REF!</v>
      </c>
      <c r="T26" s="121"/>
      <c r="U26" s="121"/>
      <c r="V26" s="21"/>
      <c r="W26" s="21"/>
      <c r="X26" s="21"/>
      <c r="Y26" s="21"/>
      <c r="Z26" s="21"/>
      <c r="AA26" s="21"/>
      <c r="AB26" s="21"/>
    </row>
    <row r="27" customFormat="false" ht="48.75" hidden="false" customHeight="true" outlineLevel="0" collapsed="false">
      <c r="A27" s="118" t="s">
        <v>52</v>
      </c>
      <c r="B27" s="110" t="s">
        <v>208</v>
      </c>
      <c r="C27" s="111" t="s">
        <v>209</v>
      </c>
      <c r="D27" s="127" t="n">
        <v>0.19</v>
      </c>
      <c r="E27" s="128" t="s">
        <v>210</v>
      </c>
      <c r="F27" s="115" t="s">
        <v>211</v>
      </c>
      <c r="G27" s="115" t="s">
        <v>212</v>
      </c>
      <c r="H27" s="115" t="s">
        <v>213</v>
      </c>
      <c r="I27" s="115" t="s">
        <v>33</v>
      </c>
      <c r="J27" s="115" t="s">
        <v>34</v>
      </c>
      <c r="K27" s="115" t="s">
        <v>35</v>
      </c>
      <c r="L27" s="122" t="s">
        <v>118</v>
      </c>
      <c r="M27" s="122" t="s">
        <v>73</v>
      </c>
      <c r="N27" s="115" t="s">
        <v>119</v>
      </c>
      <c r="O27" s="122" t="s">
        <v>78</v>
      </c>
      <c r="P27" s="115" t="s">
        <v>79</v>
      </c>
      <c r="Q27" s="115" t="s">
        <v>80</v>
      </c>
      <c r="R27" s="123" t="n">
        <f aca="false">R26</f>
        <v>2</v>
      </c>
      <c r="S27" s="95" t="e">
        <f aca="false">S26</f>
        <v>#REF!</v>
      </c>
      <c r="T27" s="115"/>
      <c r="U27" s="115"/>
      <c r="V27" s="93"/>
      <c r="W27" s="93"/>
      <c r="X27" s="93"/>
      <c r="Y27" s="93"/>
      <c r="Z27" s="93"/>
      <c r="AA27" s="93"/>
      <c r="AB27" s="93"/>
    </row>
    <row r="28" customFormat="false" ht="47.25" hidden="false" customHeight="true" outlineLevel="0" collapsed="false">
      <c r="A28" s="129" t="s">
        <v>59</v>
      </c>
      <c r="B28" s="130" t="s">
        <v>214</v>
      </c>
      <c r="C28" s="111" t="s">
        <v>215</v>
      </c>
      <c r="D28" s="131" t="n">
        <v>0.16</v>
      </c>
      <c r="E28" s="132" t="s">
        <v>216</v>
      </c>
      <c r="F28" s="115" t="s">
        <v>143</v>
      </c>
      <c r="G28" s="115" t="s">
        <v>144</v>
      </c>
      <c r="H28" s="115" t="s">
        <v>145</v>
      </c>
      <c r="I28" s="115" t="s">
        <v>33</v>
      </c>
      <c r="J28" s="115" t="s">
        <v>34</v>
      </c>
      <c r="K28" s="115" t="s">
        <v>35</v>
      </c>
      <c r="L28" s="122" t="s">
        <v>217</v>
      </c>
      <c r="M28" s="122" t="s">
        <v>218</v>
      </c>
      <c r="N28" s="115" t="s">
        <v>219</v>
      </c>
      <c r="O28" s="133" t="s">
        <v>24</v>
      </c>
      <c r="P28" s="115" t="s">
        <v>25</v>
      </c>
      <c r="Q28" s="115" t="s">
        <v>26</v>
      </c>
      <c r="R28" s="123" t="n">
        <f aca="false">R27</f>
        <v>2</v>
      </c>
      <c r="S28" s="95" t="e">
        <f aca="false">S27</f>
        <v>#REF!</v>
      </c>
      <c r="T28" s="115"/>
      <c r="U28" s="115"/>
      <c r="V28" s="21"/>
      <c r="W28" s="21"/>
      <c r="X28" s="21"/>
      <c r="Y28" s="21"/>
      <c r="Z28" s="21"/>
      <c r="AA28" s="21"/>
      <c r="AB28" s="21"/>
    </row>
    <row r="29" customFormat="false" ht="47.25" hidden="false" customHeight="true" outlineLevel="0" collapsed="false">
      <c r="A29" s="118" t="s">
        <v>68</v>
      </c>
      <c r="B29" s="110" t="s">
        <v>53</v>
      </c>
      <c r="C29" s="111" t="s">
        <v>220</v>
      </c>
      <c r="D29" s="119" t="n">
        <v>0.13</v>
      </c>
      <c r="E29" s="120" t="s">
        <v>221</v>
      </c>
      <c r="F29" s="121" t="s">
        <v>162</v>
      </c>
      <c r="G29" s="121" t="s">
        <v>163</v>
      </c>
      <c r="H29" s="121" t="s">
        <v>164</v>
      </c>
      <c r="I29" s="115" t="s">
        <v>33</v>
      </c>
      <c r="J29" s="115" t="s">
        <v>34</v>
      </c>
      <c r="K29" s="115" t="s">
        <v>35</v>
      </c>
      <c r="L29" s="126" t="s">
        <v>222</v>
      </c>
      <c r="M29" s="126" t="s">
        <v>223</v>
      </c>
      <c r="N29" s="121" t="s">
        <v>32</v>
      </c>
      <c r="O29" s="133" t="s">
        <v>158</v>
      </c>
      <c r="P29" s="123" t="s">
        <v>159</v>
      </c>
      <c r="Q29" s="123" t="s">
        <v>119</v>
      </c>
      <c r="R29" s="123" t="n">
        <f aca="false">R28</f>
        <v>2</v>
      </c>
      <c r="S29" s="95" t="e">
        <f aca="false">S28</f>
        <v>#REF!</v>
      </c>
      <c r="T29" s="121"/>
      <c r="U29" s="121"/>
      <c r="V29" s="21"/>
      <c r="W29" s="21"/>
      <c r="X29" s="21"/>
      <c r="Y29" s="21"/>
      <c r="Z29" s="21"/>
      <c r="AA29" s="21"/>
      <c r="AB29" s="21"/>
    </row>
    <row r="30" customFormat="false" ht="39.75" hidden="false" customHeight="true" outlineLevel="0" collapsed="false">
      <c r="A30" s="118" t="s">
        <v>81</v>
      </c>
      <c r="B30" s="110" t="s">
        <v>224</v>
      </c>
      <c r="C30" s="111" t="s">
        <v>225</v>
      </c>
      <c r="D30" s="127" t="n">
        <v>0.09</v>
      </c>
      <c r="E30" s="128" t="s">
        <v>226</v>
      </c>
      <c r="F30" s="114" t="s">
        <v>227</v>
      </c>
      <c r="G30" s="114" t="s">
        <v>228</v>
      </c>
      <c r="H30" s="114" t="s">
        <v>229</v>
      </c>
      <c r="I30" s="115" t="s">
        <v>27</v>
      </c>
      <c r="J30" s="121" t="s">
        <v>28</v>
      </c>
      <c r="K30" s="121" t="s">
        <v>29</v>
      </c>
      <c r="L30" s="126" t="s">
        <v>222</v>
      </c>
      <c r="M30" s="126" t="s">
        <v>223</v>
      </c>
      <c r="N30" s="121" t="s">
        <v>32</v>
      </c>
      <c r="O30" s="115" t="s">
        <v>33</v>
      </c>
      <c r="P30" s="115" t="s">
        <v>34</v>
      </c>
      <c r="Q30" s="123" t="s">
        <v>35</v>
      </c>
      <c r="R30" s="123" t="n">
        <f aca="false">R29</f>
        <v>2</v>
      </c>
      <c r="S30" s="95" t="e">
        <f aca="false">S29</f>
        <v>#REF!</v>
      </c>
      <c r="T30" s="114"/>
      <c r="U30" s="114"/>
      <c r="V30" s="21"/>
      <c r="W30" s="21"/>
      <c r="X30" s="21"/>
      <c r="Y30" s="21"/>
      <c r="Z30" s="21"/>
      <c r="AA30" s="21"/>
      <c r="AB30" s="21"/>
    </row>
    <row r="31" customFormat="false" ht="54" hidden="false" customHeight="true" outlineLevel="0" collapsed="false">
      <c r="A31" s="129" t="s">
        <v>152</v>
      </c>
      <c r="B31" s="130" t="s">
        <v>230</v>
      </c>
      <c r="C31" s="111" t="s">
        <v>231</v>
      </c>
      <c r="D31" s="127" t="n">
        <v>0.1</v>
      </c>
      <c r="E31" s="128" t="s">
        <v>232</v>
      </c>
      <c r="F31" s="114" t="s">
        <v>233</v>
      </c>
      <c r="G31" s="114" t="s">
        <v>150</v>
      </c>
      <c r="H31" s="114" t="s">
        <v>151</v>
      </c>
      <c r="I31" s="115" t="s">
        <v>27</v>
      </c>
      <c r="J31" s="115" t="s">
        <v>28</v>
      </c>
      <c r="K31" s="115" t="s">
        <v>29</v>
      </c>
      <c r="L31" s="122" t="s">
        <v>117</v>
      </c>
      <c r="M31" s="122" t="s">
        <v>31</v>
      </c>
      <c r="N31" s="115" t="s">
        <v>32</v>
      </c>
      <c r="O31" s="115" t="s">
        <v>33</v>
      </c>
      <c r="P31" s="115" t="s">
        <v>34</v>
      </c>
      <c r="Q31" s="123" t="s">
        <v>35</v>
      </c>
      <c r="R31" s="123" t="n">
        <f aca="false">R30</f>
        <v>2</v>
      </c>
      <c r="S31" s="95" t="e">
        <f aca="false">S30</f>
        <v>#REF!</v>
      </c>
      <c r="T31" s="114"/>
      <c r="U31" s="114"/>
      <c r="V31" s="21"/>
      <c r="W31" s="21"/>
      <c r="X31" s="21"/>
      <c r="Y31" s="21"/>
      <c r="Z31" s="21"/>
      <c r="AA31" s="21"/>
      <c r="AB31" s="2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E2" r:id="rId1" display="Hybrid Kolmogorov–Arnold Graph Neural Networks and&#10;Probabilistic Graphical Models for Retention Time&#10;Prediction in Pharmaceutical LC–MS Workflows: https://drive.google.com/file/d/1hBhxqwL5rIEWvdI-BCHvGGCpM2y8r4_3/view?usp=drive_link"/>
    <hyperlink ref="E3" r:id="rId2" display="Hybrid Machine Learning and Geostatistical Modelling for&#10;Prevalence Disease Mapping: https://drive.google.com/file/d/1qL7KQtlxpVU6fmFH7-BwXGQsGwVRrF0z/view?usp=drive_link"/>
    <hyperlink ref="E4" r:id="rId3" display="Assessing Spatio-Temporal Trends in Rabies Mortality in&#10;Tanzania: https://drive.google.com/file/d/1YbNtX1a4tafc6cmAHkSRaVEY43AVGHbC/view?usp=drive_link"/>
    <hyperlink ref="E5" r:id="rId4" display="Spatio-temporal analysis of dog bites and dog rabies&#10;vaccination in Tanzania: https://drive.google.com/file/d/1a6WD5_HjAm-pXqodukQKcj4VQyeJmr09/view?usp=drive_link"/>
    <hyperlink ref="E6" r:id="rId5" display="Analysis of Hydrological Variability and Climate&#10;Fluctuations in the Senegal River Basin using Spectral&#10;Methods: https://drive.google.com/file/d/1_3OliEYjjNtMi1BV2Rqd6K6CbkaYvLh5/view?usp=drive_link"/>
    <hyperlink ref="E7" r:id="rId6" display="Support Vector Machines for Financial Time Series Forecasting: Models, Techniques, and Performance: https://drive.google.com/file/d/1EXlwrMxvl4h_v5AGlK36w4hHchrI4JFO/view?usp=drive_link"/>
    <hyperlink ref="E8" r:id="rId7" display="Towards Interpretable Machine Learning: Symbolic&#10;Regression in the age of AI: https://drive.google.com/file/d/1cH30tGFvp6xvzlccH8bsbP1yX7KVUI0j/view?usp=drive_link"/>
    <hyperlink ref="E9" r:id="rId8" display="A Transformer-Based Graph Neural Network for Brain Tumor Segmentation: Explainability of the Model: https://drive.google.com/file/d/13L5cYLG34ztLgMVC8hnqixD_cAhy9gub/view?usp=drive_link"/>
    <hyperlink ref="E10" r:id="rId9" display="Causal AI and Machine Learning for Microsoft Financial&#10;Decisions: https://drive.google.com/file/d/1xi2dZnpdI-Hlip_luGiW7e-vA8xOO-AT/view?usp=drive_link"/>
    <hyperlink ref="E11" r:id="rId10" display="Classification Hiérarchique de Textes utilisant des&#10;Méthodes à Noyau pour le Traitement Automatique du&#10;Langage Naturel: https://drive.google.com/file/d/1m7sxkn92mGCvsy316qxEUWF9_1aCTFN3/view?usp=drive_link"/>
    <hyperlink ref="E12" r:id="rId11" display="Optimizing Customer Insights Extraction Using Advanced&#10;ML and NLP Models: The Role of Preprocessing and&#10;Tokenization: https://drive.google.com/file/d/1Q5nMIuwsmdMcA4qv9GgABtEcVQHWjHii/view?usp=drive_link"/>
    <hyperlink ref="E13" r:id="rId12" display="Automated Early Detection of Rheumatoid Arthritis in&#10;Radiographs Using Neural Networks: https://drive.google.com/file/d/1tsbrTMJaKaT8FRyPDwSp2fRysfBPG_Rc/view?usp=drive_link"/>
    <hyperlink ref="E14" r:id="rId13" display="Detection of the deflection angle of skyscrapers in a city&#10;subject to high wind loads using Machine Learning methods: https://drive.google.com/file/d/1EnYH6G-sHe0GUjMRvp7_HfKdHuDmpD0l/view?usp=drive_link"/>
    <hyperlink ref="E15" r:id="rId14" display="Integrating Deep Learning with Stochastic Mortality&#10;Models for Enhanced Mortality Forecasting: https://drive.google.com/file/d/1XbKpfQGqV9yhgPcvnjQaTIz-9MGS18gm/view?usp=drive_link"/>
    <hyperlink ref="E16" r:id="rId15" display="Investigating white-box adversarial attacks in pneumonia&#10;detection in Chest X-Rays: https://drive.google.com/file/d/13IqyBF8gRCaXM9eCoGgMYNCdGgNoKWRU/view?usp=drive_link"/>
    <hyperlink ref="E17" r:id="rId16" display="Automated Stroke Detection and Subtype Classification&#10;from Brain CT Using Deep Learning in Resource-Limited&#10;Settings: https://drive.google.com/file/d/1D69phCk-qXUKjK5pGlY0BWsAWaoAxFct/view?usp=drive_link"/>
    <hyperlink ref="E18" r:id="rId17" display="Designing an SQL-Based Data Pipeline for Exploratory&#10;Data Analysis: https://drive.google.com/file/d/1qBx4QQiXqtWWZc0XrIrlmR9yBELvJwwK/view?usp=drive_link"/>
    <hyperlink ref="E19" r:id="rId18" display="Performance Optimization of Graph-Theoretic Models for&#10;the Prediction of Molecular Measurements: https://drive.google.com/file/d/1h5aUdsElWpFBVFxh6_19Y7hh2maZauiu/view?usp=drive_link"/>
    <hyperlink ref="E20" r:id="rId19" display="Detecting Money Laundering Risks in Financial&#10;Transactions in Rwanda: A Machine Learning Approach&#10;with a Case Study on Mobile Money: https://drive.google.com/file/d/1g3-_gcYlHRWlFrDPQxYywAUkmL7YN2ln/view?usp=drive_link"/>
    <hyperlink ref="E21" r:id="rId20" display="From classical PDEs to PINNs: enhancing the&#10;Black-Scholes Model with deep learning constraints: https://drive.google.com/file/d/1EfhqiYqpmK7V7_5_PoqaWpkbKx5njQnz/view?usp=drive_link"/>
    <hyperlink ref="E22" r:id="rId21" display="Predictive Modeling of Agricultural Input Loan Default&#10;(”Impaye”) for Smallholder Farmers in Benin: https://drive.google.com/file/d/1k5T2oV5S6f59iSpialOhr58jGth6lZFp/view?usp=drive_link"/>
    <hyperlink ref="E23" r:id="rId22" display="Detection of the deflection angle of skyscrapers in a city&#10;subject to high wind loads using Machine Learning methods: https://drive.google.com/file/d/1EnYH6G-sHe0GUjMRvp7_HfKdHuDmpD0l/view?usp=drive_link"/>
    <hyperlink ref="E24" r:id="rId23" display="An Attention-Enhanced CNN–RBF Framework&#10;for Network Intrusion Detection in Imbalanced&#10;Traffic: FABRICE KABURA.pdf"/>
    <hyperlink ref="E25" r:id="rId24" display="Explainability of Deep Learning for Denoising Magnetic Resonance Imaging (MRI): https://drive.google.com/file/d/19liJGCszMpRYnT6o5v5GB0HRVARH67ru/view?usp=drive_link"/>
    <hyperlink ref="E26" r:id="rId25" display="Architecture hybride Autoencodeur-RNN pour&#10;une prédiction prcise du trafic réseau 4G/5G:&#10;Une étude de cas avec des données de&#10;télécommunications en Afrique: https://drive.google.com/file/d/1roRSVSyfxTwKx6kjiHPPJiNQWai65_ia/view?usp=drive_link"/>
    <hyperlink ref="E27" r:id="rId26" display="Predicting Prices of the US and G7 Stock Indices in&#10;Uncertain Times: Evidence from the Application of a&#10;Hybrid Neural Network: https://drive.google.com/file/d/1lFU2EqXEqMVLefWaQKzipQhaApadcNt6/view?usp=drive_link"/>
    <hyperlink ref="E28" r:id="rId27" display="Regime-Adaptive Neural Network Model for Weather Derivative Pricing Using Satellite-Derived Climate Indices: https://drive.google.com/file/d/10u5WyFcj3XLuzvGYruM3LVM84lQwNqz5/view?usp=drive_link"/>
    <hyperlink ref="E29" r:id="rId28" display="Modèle de Régression Logistique de Prédiction d’un&#10;Cancer: https://drive.google.com/file/d/1oZlc4FaWkXsOO5rkT1fm-veStPkgnKYa/view?usp=drive_link"/>
    <hyperlink ref="E30" r:id="rId29" display="Imputation Multiple pour la Gestion des Donnees&#10;Manquantes en Soft Subspace Clustering: https://drive.google.com/file/d/12mJuLnDYgZyp8IdeeMXIfx18sp7GJVH-/view?usp=drive_link"/>
    <hyperlink ref="E31" r:id="rId30" display="Study of irregularity and permutation invariance in real&#10;3D data using PointNet++: https://drive.google.com/file/d/1L-qxSjuDvmDOXKpi5ZshTiYZdRfBZ7uO/view?usp=drive_link"/>
  </hyperlinks>
  <printOptions headings="false" gridLines="true" gridLinesSet="true" horizontalCentered="true" verticalCentered="false"/>
  <pageMargins left="1" right="1" top="1" bottom="1" header="0.511811023622047" footer="0.511811023622047"/>
  <pageSetup paperSize="12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2026-06-15T09:29:07Z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